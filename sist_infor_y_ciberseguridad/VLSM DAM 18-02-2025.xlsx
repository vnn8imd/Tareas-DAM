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85" documentId="13_ncr:1_{B4914110-428D-458B-BAE9-90086307BDD5}" xr6:coauthVersionLast="47" xr6:coauthVersionMax="47" xr10:uidLastSave="{A3A8D2DA-B4D0-4A5B-B99E-947439F98B6B}"/>
  <bookViews>
    <workbookView xWindow="-108" yWindow="-108" windowWidth="23256" windowHeight="12456" firstSheet="12" activeTab="1" xr2:uid="{00000000-000D-0000-FFFF-FFFF00000000}"/>
  </bookViews>
  <sheets>
    <sheet name="VLSM_Clase C_1" sheetId="1" r:id="rId1"/>
    <sheet name="Hoja1" sheetId="18" r:id="rId2"/>
    <sheet name="VLSM_Clase C_2" sheetId="4" r:id="rId3"/>
    <sheet name="VLSM_Clase A_1" sheetId="5" r:id="rId4"/>
    <sheet name="VLSM_Clase A_1 (2)" sheetId="6" r:id="rId5"/>
    <sheet name="VLSM_Clase C INICIO" sheetId="7" r:id="rId6"/>
    <sheet name=" CLASE C" sheetId="8" r:id="rId7"/>
    <sheet name=" CLASE C 27-01-2025" sheetId="12" r:id="rId8"/>
    <sheet name="VLSM C 27-01-2025" sheetId="13" r:id="rId9"/>
    <sheet name="VLSM C 27-01-2025 (2)" sheetId="14" r:id="rId10"/>
    <sheet name="VLSM C 27-01-2025 (3)" sheetId="15" r:id="rId11"/>
    <sheet name="VLSM B 18-02-2025" sheetId="16" r:id="rId12"/>
    <sheet name="VLSM A 18-02-2025 " sheetId="17" r:id="rId13"/>
    <sheet name="INTRODUCION A IPV6" sheetId="2" r:id="rId14"/>
    <sheet name=" CLASE C (2)" sheetId="9" r:id="rId15"/>
    <sheet name=" CLASE C (3)" sheetId="10" r:id="rId16"/>
    <sheet name=" CLASE C (4)" sheetId="11" r:id="rId17"/>
    <sheet name="Hoja3" sheetId="3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7" l="1"/>
  <c r="B20" i="16"/>
  <c r="B20" i="15"/>
  <c r="B21" i="14"/>
  <c r="B21" i="13"/>
  <c r="B21" i="12"/>
  <c r="B44" i="11"/>
  <c r="B28" i="10"/>
  <c r="B21" i="9"/>
  <c r="B21" i="8"/>
  <c r="B21" i="7"/>
  <c r="B23" i="6"/>
  <c r="B24" i="6" s="1"/>
  <c r="B23" i="5"/>
  <c r="B24" i="5" s="1"/>
  <c r="B20" i="4"/>
  <c r="B21" i="4" s="1"/>
  <c r="B20" i="1"/>
  <c r="B21" i="1"/>
</calcChain>
</file>

<file path=xl/sharedStrings.xml><?xml version="1.0" encoding="utf-8"?>
<sst xmlns="http://schemas.openxmlformats.org/spreadsheetml/2006/main" count="810" uniqueCount="378">
  <si>
    <t>Nº</t>
  </si>
  <si>
    <t>Host Solicitados</t>
  </si>
  <si>
    <t>Host Encontrados</t>
  </si>
  <si>
    <t>Direccion de Red</t>
  </si>
  <si>
    <t>Bits de Red</t>
  </si>
  <si>
    <t>Mascara decimal</t>
  </si>
  <si>
    <t>1ª IP Disp.</t>
  </si>
  <si>
    <t>&gt; IP Disp</t>
  </si>
  <si>
    <t>BroadCast</t>
  </si>
  <si>
    <t>192.168.1.0</t>
  </si>
  <si>
    <t>192.168.1.1</t>
  </si>
  <si>
    <t>192.168.1.126</t>
  </si>
  <si>
    <t>192.168.1.127</t>
  </si>
  <si>
    <t>192.168.1.128</t>
  </si>
  <si>
    <t>192.168.1.129</t>
  </si>
  <si>
    <t>192.168.1.190</t>
  </si>
  <si>
    <t>192.168.1.191</t>
  </si>
  <si>
    <t>192.168.1.192</t>
  </si>
  <si>
    <t>192.168.1.193</t>
  </si>
  <si>
    <t>192.168.1.222</t>
  </si>
  <si>
    <t>192.168.1.223</t>
  </si>
  <si>
    <t>E1</t>
  </si>
  <si>
    <t>192.168.1.224</t>
  </si>
  <si>
    <t>192.168.1.225</t>
  </si>
  <si>
    <t>192.168.1.226</t>
  </si>
  <si>
    <t>192.168.1.227</t>
  </si>
  <si>
    <t>E2</t>
  </si>
  <si>
    <t>192.168.1.228</t>
  </si>
  <si>
    <t>192.168.1.229</t>
  </si>
  <si>
    <t>192.168.1.230</t>
  </si>
  <si>
    <t>192.168.1.231</t>
  </si>
  <si>
    <t>E3</t>
  </si>
  <si>
    <t>192.168.1.232</t>
  </si>
  <si>
    <t>192.168.1.233</t>
  </si>
  <si>
    <t>192.168.1.234</t>
  </si>
  <si>
    <t>192.168.1.235</t>
  </si>
  <si>
    <t>CONSTANTE</t>
  </si>
  <si>
    <t>SALTOS DE RED</t>
  </si>
  <si>
    <t>Pregunta</t>
  </si>
  <si>
    <t>Como se calcula</t>
  </si>
  <si>
    <t>¿Qué mascara le corresponde a la Network 192.168.1.64?</t>
  </si>
  <si>
    <t>IP</t>
  </si>
  <si>
    <t>SON X ADICIONALES</t>
  </si>
  <si>
    <t>Encendidos/Apagados</t>
  </si>
  <si>
    <t>6 apagados</t>
  </si>
  <si>
    <t>Clase A</t>
  </si>
  <si>
    <t>255.0.0.0</t>
  </si>
  <si>
    <t xml:space="preserve">0-127 </t>
  </si>
  <si>
    <t>8 bits</t>
  </si>
  <si>
    <t>Clase B</t>
  </si>
  <si>
    <t>255.255.0.0</t>
  </si>
  <si>
    <t>128-191</t>
  </si>
  <si>
    <t>16 bits</t>
  </si>
  <si>
    <t>Máscara</t>
  </si>
  <si>
    <t>Clase C</t>
  </si>
  <si>
    <t>255.255.255.0</t>
  </si>
  <si>
    <t>192-223</t>
  </si>
  <si>
    <t>24 bits</t>
  </si>
  <si>
    <t xml:space="preserve">Host totales </t>
  </si>
  <si>
    <t xml:space="preserve">4096 totales </t>
  </si>
  <si>
    <t>4094 disponibles</t>
  </si>
  <si>
    <t>2 elevado a 6 apagados</t>
  </si>
  <si>
    <t>Se dispone de 131.072 host para la Network 11.0.0.0 ¿Qué mascara le corresponde?</t>
  </si>
  <si>
    <t>Se dispone de las siguientes VLSM para la Network 192.168.1.0/24</t>
  </si>
  <si>
    <t>35 host</t>
  </si>
  <si>
    <t>10 host</t>
  </si>
  <si>
    <t>8 host</t>
  </si>
  <si>
    <t>¿Qué mascara le corresponde a la tercera petición de 8 host?</t>
  </si>
  <si>
    <t>Debemos hacer ping a todos los usuarios (Broadcast) conectados a nuestro sistema operativo Server, Linux o Windows, tenemos la Network 192.168.1.0/29 que ¿Broadcast le pertenece?</t>
  </si>
  <si>
    <t>Se desea dividir la red 172.172.0.0/16 en 15 subredes, los bits de red serian:</t>
  </si>
  <si>
    <t>¿Cuál es la última IP disponible de la red 192.168.1.0/25?</t>
  </si>
  <si>
    <r>
      <t>2</t>
    </r>
    <r>
      <rPr>
        <vertAlign val="superscript"/>
        <sz val="11"/>
        <color theme="1"/>
        <rFont val="Calibri"/>
        <family val="2"/>
        <scheme val="minor"/>
      </rPr>
      <t>?</t>
    </r>
  </si>
  <si>
    <t>192.168.10.0</t>
  </si>
  <si>
    <t>192.168.10.1</t>
  </si>
  <si>
    <t>192.168.10.62</t>
  </si>
  <si>
    <t>192.168.10.63</t>
  </si>
  <si>
    <t>192.168.10.64</t>
  </si>
  <si>
    <t>192.168.10.65</t>
  </si>
  <si>
    <t>192.168.10.94</t>
  </si>
  <si>
    <t>192.168.10.95</t>
  </si>
  <si>
    <t>192.168.10.96</t>
  </si>
  <si>
    <t>192.168.10.97</t>
  </si>
  <si>
    <t>192.168.10.126</t>
  </si>
  <si>
    <t>192.168.10.127</t>
  </si>
  <si>
    <t>192.168.10.128</t>
  </si>
  <si>
    <t>192.168.10.129</t>
  </si>
  <si>
    <t>192.168.10.142</t>
  </si>
  <si>
    <t>192.168.10.143</t>
  </si>
  <si>
    <t>PETICIONES</t>
  </si>
  <si>
    <t>192.168.10.144</t>
  </si>
  <si>
    <t>192.168.10.145</t>
  </si>
  <si>
    <t>192.168.10.146</t>
  </si>
  <si>
    <t>192.168.10.147</t>
  </si>
  <si>
    <t>192.168.10.148</t>
  </si>
  <si>
    <t>192.168.10.149</t>
  </si>
  <si>
    <t>192.168.10.150</t>
  </si>
  <si>
    <t>192.168.10.151</t>
  </si>
  <si>
    <t>192.168.10.152</t>
  </si>
  <si>
    <t>192.168.10.153</t>
  </si>
  <si>
    <t>192.168.10.154</t>
  </si>
  <si>
    <t>192.168.10.155</t>
  </si>
  <si>
    <t>E4</t>
  </si>
  <si>
    <t>192.168.10.156</t>
  </si>
  <si>
    <t>192.168.10.157</t>
  </si>
  <si>
    <t>192.168.10.158</t>
  </si>
  <si>
    <t>192.168.10.159</t>
  </si>
  <si>
    <t>E5</t>
  </si>
  <si>
    <t>192.168.10.160</t>
  </si>
  <si>
    <t>192.168.10.161</t>
  </si>
  <si>
    <t>192.168.10.162</t>
  </si>
  <si>
    <t>192.168.10.163</t>
  </si>
  <si>
    <t>E6</t>
  </si>
  <si>
    <t>192.168.10.164</t>
  </si>
  <si>
    <t>192.168.10.165</t>
  </si>
  <si>
    <t>192.168.10.166</t>
  </si>
  <si>
    <t>192.168.10.167</t>
  </si>
  <si>
    <t>11111000</t>
  </si>
  <si>
    <t>00000000</t>
  </si>
  <si>
    <t>64.0.0.0</t>
  </si>
  <si>
    <t>255.192.0.0</t>
  </si>
  <si>
    <t>64.0.0.1</t>
  </si>
  <si>
    <t>64.63.255.254</t>
  </si>
  <si>
    <t>64.63.255.255</t>
  </si>
  <si>
    <r>
      <t>2</t>
    </r>
    <r>
      <rPr>
        <vertAlign val="superscript"/>
        <sz val="11"/>
        <color theme="1"/>
        <rFont val="Calibri"/>
        <family val="2"/>
        <scheme val="minor"/>
      </rPr>
      <t>22</t>
    </r>
  </si>
  <si>
    <t>64.64.0.0</t>
  </si>
  <si>
    <t>64.64.0.1</t>
  </si>
  <si>
    <t>64.128.0.0</t>
  </si>
  <si>
    <t>255.224.0.0</t>
  </si>
  <si>
    <t>64.128.0.1</t>
  </si>
  <si>
    <r>
      <t>2</t>
    </r>
    <r>
      <rPr>
        <vertAlign val="superscript"/>
        <sz val="11"/>
        <color theme="1"/>
        <rFont val="Calibri"/>
        <family val="2"/>
        <scheme val="minor"/>
      </rPr>
      <t>21</t>
    </r>
  </si>
  <si>
    <t>64.160.0.0</t>
  </si>
  <si>
    <t>255.240.0.0</t>
  </si>
  <si>
    <t>64.160.0.1</t>
  </si>
  <si>
    <r>
      <t>2</t>
    </r>
    <r>
      <rPr>
        <vertAlign val="superscript"/>
        <sz val="11"/>
        <color theme="1"/>
        <rFont val="Calibri"/>
        <family val="2"/>
        <scheme val="minor"/>
      </rPr>
      <t>20</t>
    </r>
  </si>
  <si>
    <t>64.176.0.0</t>
  </si>
  <si>
    <t>255.248.0.0</t>
  </si>
  <si>
    <t>64.176.0.1</t>
  </si>
  <si>
    <r>
      <t>2</t>
    </r>
    <r>
      <rPr>
        <vertAlign val="superscript"/>
        <sz val="11"/>
        <color theme="1"/>
        <rFont val="Calibri"/>
        <family val="2"/>
        <scheme val="minor"/>
      </rPr>
      <t>19</t>
    </r>
  </si>
  <si>
    <t>64.184.0.0</t>
  </si>
  <si>
    <t>64.184.0.1</t>
  </si>
  <si>
    <t>64.184.0.2</t>
  </si>
  <si>
    <t>64.184.0.3</t>
  </si>
  <si>
    <t>64.184.0.4</t>
  </si>
  <si>
    <t>64.184.0.5</t>
  </si>
  <si>
    <t>64.184.0.6</t>
  </si>
  <si>
    <t>64.184.0.7</t>
  </si>
  <si>
    <t>64.184.0.8</t>
  </si>
  <si>
    <t>64.184.0.9</t>
  </si>
  <si>
    <t>64.184.0.10</t>
  </si>
  <si>
    <t>64.184.0.11</t>
  </si>
  <si>
    <t>64.184.0.12</t>
  </si>
  <si>
    <t>64.184.0.13</t>
  </si>
  <si>
    <t>64.184.0.14</t>
  </si>
  <si>
    <t>64.184.0.15</t>
  </si>
  <si>
    <t>64.184.0.16</t>
  </si>
  <si>
    <t>64.184.0.17</t>
  </si>
  <si>
    <t>64.184.0.18</t>
  </si>
  <si>
    <t>64.184.0.19</t>
  </si>
  <si>
    <t>+ 3 enlaces</t>
  </si>
  <si>
    <t>ELEVADO A</t>
  </si>
  <si>
    <t>?</t>
  </si>
  <si>
    <t>192.168.1.30</t>
  </si>
  <si>
    <t>192.168.1.31</t>
  </si>
  <si>
    <t>-2</t>
  </si>
  <si>
    <t>PETICION</t>
  </si>
  <si>
    <t>192.168.1.32</t>
  </si>
  <si>
    <t>192.168.1.33</t>
  </si>
  <si>
    <t>192.168.1.46</t>
  </si>
  <si>
    <t>192.168.1.47</t>
  </si>
  <si>
    <t>192.168.1.48</t>
  </si>
  <si>
    <t>192.168.1.49</t>
  </si>
  <si>
    <t>192.168.1.50</t>
  </si>
  <si>
    <t>192.168.1.51</t>
  </si>
  <si>
    <t>e1</t>
  </si>
  <si>
    <t>192.168.1.52</t>
  </si>
  <si>
    <t>192.168.1.53</t>
  </si>
  <si>
    <t>192.168.1.54</t>
  </si>
  <si>
    <t>192.168.1.55</t>
  </si>
  <si>
    <t>e2</t>
  </si>
  <si>
    <t>192.168.1.56</t>
  </si>
  <si>
    <t>192.168.1.57</t>
  </si>
  <si>
    <t>192.168.1.58</t>
  </si>
  <si>
    <t>192.168.1.59</t>
  </si>
  <si>
    <t>192.168.1.62</t>
  </si>
  <si>
    <t>192.168.1.63</t>
  </si>
  <si>
    <t>192.168.1.64</t>
  </si>
  <si>
    <t>192.168.1.65</t>
  </si>
  <si>
    <t>4 PARTES</t>
  </si>
  <si>
    <t>192.168.1.254</t>
  </si>
  <si>
    <t>192.168.1.255</t>
  </si>
  <si>
    <t>FIJA</t>
  </si>
  <si>
    <t>ELEVADO</t>
  </si>
  <si>
    <t>2</t>
  </si>
  <si>
    <t>3 PARTES</t>
  </si>
  <si>
    <t>192.198.1.129</t>
  </si>
  <si>
    <t>VLSM</t>
  </si>
  <si>
    <t>192.168.1.42</t>
  </si>
  <si>
    <t>192.168.1.143</t>
  </si>
  <si>
    <t>2 host</t>
  </si>
  <si>
    <t>192.168.1.144</t>
  </si>
  <si>
    <t>192.168.1.145</t>
  </si>
  <si>
    <t>192.168.1.146</t>
  </si>
  <si>
    <t>192.168.1.147</t>
  </si>
  <si>
    <t>64 host</t>
  </si>
  <si>
    <t>192.168.1.148</t>
  </si>
  <si>
    <t>192.168.1.149</t>
  </si>
  <si>
    <t>192.168.1.150</t>
  </si>
  <si>
    <t>192.168.1.151</t>
  </si>
  <si>
    <t>192.168.1.152</t>
  </si>
  <si>
    <t>192.168.1.153</t>
  </si>
  <si>
    <t>192.168.1.154</t>
  </si>
  <si>
    <t>192.168.1.155</t>
  </si>
  <si>
    <t>3 enlaces</t>
  </si>
  <si>
    <t>e3</t>
  </si>
  <si>
    <t>192.168.1.156</t>
  </si>
  <si>
    <t>192.168.1.157</t>
  </si>
  <si>
    <t>192.168.1.158</t>
  </si>
  <si>
    <t>192.168.1.159</t>
  </si>
  <si>
    <t>192.168.1.78</t>
  </si>
  <si>
    <t>192.168.1.79</t>
  </si>
  <si>
    <t>192.168.1.80</t>
  </si>
  <si>
    <t>192.168.1.81</t>
  </si>
  <si>
    <t>192.168.1.82</t>
  </si>
  <si>
    <t>192.168.1.83</t>
  </si>
  <si>
    <t>192.168.1.84</t>
  </si>
  <si>
    <t>192.168.1.85</t>
  </si>
  <si>
    <t>192.168.1.86</t>
  </si>
  <si>
    <t>192.168.1.87</t>
  </si>
  <si>
    <t>2 ENLACES</t>
  </si>
  <si>
    <t>192.200.10.0</t>
  </si>
  <si>
    <t>192.200.10.1</t>
  </si>
  <si>
    <t>192.200.10.62</t>
  </si>
  <si>
    <t>192.200.10.63</t>
  </si>
  <si>
    <t>192.200.10.64</t>
  </si>
  <si>
    <t>192.200.10.65</t>
  </si>
  <si>
    <t>192.200.10.94</t>
  </si>
  <si>
    <t>192.200.10.95</t>
  </si>
  <si>
    <t>192.200.10.96</t>
  </si>
  <si>
    <t>192.200.10.97</t>
  </si>
  <si>
    <t>192.200.10.98</t>
  </si>
  <si>
    <t>192.200.10.99</t>
  </si>
  <si>
    <t>192.200.10.100</t>
  </si>
  <si>
    <t>192.200.10.101</t>
  </si>
  <si>
    <t>192.200.10.102</t>
  </si>
  <si>
    <t>192.200.10.103</t>
  </si>
  <si>
    <t>2 enlaces</t>
  </si>
  <si>
    <t>172.150.0.0</t>
  </si>
  <si>
    <t>255.255.252.0</t>
  </si>
  <si>
    <t>172.150.0.1</t>
  </si>
  <si>
    <t>172.150.3.254</t>
  </si>
  <si>
    <t>172.150.3.255</t>
  </si>
  <si>
    <t>172.150.4.0</t>
  </si>
  <si>
    <t>255.255.254.0</t>
  </si>
  <si>
    <t>172.150.4.1</t>
  </si>
  <si>
    <t>172.150.5.254</t>
  </si>
  <si>
    <t>172.150.5.255</t>
  </si>
  <si>
    <t>EN1</t>
  </si>
  <si>
    <t>172.150.6.0</t>
  </si>
  <si>
    <t>172.150.6.1</t>
  </si>
  <si>
    <t>172.150.6.2</t>
  </si>
  <si>
    <t>172.150.6.3</t>
  </si>
  <si>
    <t>2N2</t>
  </si>
  <si>
    <t>172.150.6.4</t>
  </si>
  <si>
    <t>172.150.6.5</t>
  </si>
  <si>
    <t>172.150.6.6</t>
  </si>
  <si>
    <t>172.150.6.7</t>
  </si>
  <si>
    <t>11111111</t>
  </si>
  <si>
    <t>11111110</t>
  </si>
  <si>
    <t>IPV6</t>
  </si>
  <si>
    <t>120.0.0.0</t>
  </si>
  <si>
    <t>120.0.0.1</t>
  </si>
  <si>
    <t>120.15.255.254</t>
  </si>
  <si>
    <t>120.15.255.255</t>
  </si>
  <si>
    <t>120.16.0.0</t>
  </si>
  <si>
    <t>255.254.0.0</t>
  </si>
  <si>
    <t>120.16.0.1</t>
  </si>
  <si>
    <t>120.17.255.254</t>
  </si>
  <si>
    <t>120.17.255.255</t>
  </si>
  <si>
    <t>120.18.0.0</t>
  </si>
  <si>
    <t>120.18.0.1</t>
  </si>
  <si>
    <t>120.18.0.2</t>
  </si>
  <si>
    <t>120.18.0.3</t>
  </si>
  <si>
    <t>120.18.0.4</t>
  </si>
  <si>
    <t>120.18.0.5</t>
  </si>
  <si>
    <t>120.18.0.6</t>
  </si>
  <si>
    <t>120.18.0.7</t>
  </si>
  <si>
    <t>120</t>
  </si>
  <si>
    <t>0</t>
  </si>
  <si>
    <t>HEXTETOS</t>
  </si>
  <si>
    <t>2025:CAFE:12BC:1234:AABB:DDAA:1200:1234</t>
  </si>
  <si>
    <t>0-9</t>
  </si>
  <si>
    <t>A</t>
  </si>
  <si>
    <t>2025:A:A:A::/64</t>
  </si>
  <si>
    <t>B</t>
  </si>
  <si>
    <t>C</t>
  </si>
  <si>
    <t>2025:000A:000A:000A:0000:0000:0000:0000</t>
  </si>
  <si>
    <t>D</t>
  </si>
  <si>
    <t>E</t>
  </si>
  <si>
    <t>1999:A000:B000::1234</t>
  </si>
  <si>
    <t>F</t>
  </si>
  <si>
    <t>1999:A000:B000:0000:0000:0000:0000:1234</t>
  </si>
  <si>
    <t>192.168.1.94</t>
  </si>
  <si>
    <t>192.168.1.95</t>
  </si>
  <si>
    <t>192.168.1.96</t>
  </si>
  <si>
    <t>192.168.1.97</t>
  </si>
  <si>
    <t>192.168.1.160</t>
  </si>
  <si>
    <t>192.168.1.161</t>
  </si>
  <si>
    <t>192.168.1.14</t>
  </si>
  <si>
    <t>192.168.1.15</t>
  </si>
  <si>
    <t>192.168.1.16</t>
  </si>
  <si>
    <t>192.168.1.17</t>
  </si>
  <si>
    <t>192.168.1.110</t>
  </si>
  <si>
    <t>192.168.1.111</t>
  </si>
  <si>
    <t>192.168.1.112</t>
  </si>
  <si>
    <t>192.168.1.113</t>
  </si>
  <si>
    <t>192.168.1.142</t>
  </si>
  <si>
    <t>192.168.1.174</t>
  </si>
  <si>
    <t>192.168.1.175</t>
  </si>
  <si>
    <t>192.168.1.176</t>
  </si>
  <si>
    <t>192.168.1.177</t>
  </si>
  <si>
    <t>192.168.1.206</t>
  </si>
  <si>
    <t>192.168.1.207</t>
  </si>
  <si>
    <t>192.168.1.208</t>
  </si>
  <si>
    <t>192.168.1.209</t>
  </si>
  <si>
    <t>192.168.1.238</t>
  </si>
  <si>
    <t>192.168.1.239</t>
  </si>
  <si>
    <t>192.168.1.240</t>
  </si>
  <si>
    <t>192.168.1.241</t>
  </si>
  <si>
    <t>192.168.1.6</t>
  </si>
  <si>
    <t>192.168.1.7</t>
  </si>
  <si>
    <t>192.168.1.8</t>
  </si>
  <si>
    <t>192.168.1.9</t>
  </si>
  <si>
    <t>192.168.1.22</t>
  </si>
  <si>
    <t>192.168.1.23</t>
  </si>
  <si>
    <t>192.168.1.24</t>
  </si>
  <si>
    <t>192.168.1.25</t>
  </si>
  <si>
    <t>192.168.1.38</t>
  </si>
  <si>
    <t>192.168.1.39</t>
  </si>
  <si>
    <t>192.168.1.40</t>
  </si>
  <si>
    <t>192.168.1.41</t>
  </si>
  <si>
    <t>192.168.1.70</t>
  </si>
  <si>
    <t>192.168.1.71</t>
  </si>
  <si>
    <t>192.168.1.72</t>
  </si>
  <si>
    <t>192.168.1.73</t>
  </si>
  <si>
    <t>192.168.1.88</t>
  </si>
  <si>
    <t>192.168.1.89</t>
  </si>
  <si>
    <t>192.168.1.102</t>
  </si>
  <si>
    <t>192.168.1.103</t>
  </si>
  <si>
    <t>192.168.1.104</t>
  </si>
  <si>
    <t>192.168.1.105</t>
  </si>
  <si>
    <t>192.168.1.118</t>
  </si>
  <si>
    <t>192.168.1.119</t>
  </si>
  <si>
    <t>192.168.1.120</t>
  </si>
  <si>
    <t>192.168.1.121</t>
  </si>
  <si>
    <t>192.168.1.134</t>
  </si>
  <si>
    <t>192.168.1.135</t>
  </si>
  <si>
    <t>192.168.1.136</t>
  </si>
  <si>
    <t>192.168.1.137</t>
  </si>
  <si>
    <t>192.168.1.166</t>
  </si>
  <si>
    <t>192.168.1.167</t>
  </si>
  <si>
    <t>192.168.1.168</t>
  </si>
  <si>
    <t>192.168.1.169</t>
  </si>
  <si>
    <t>192.168.1.182</t>
  </si>
  <si>
    <t>192.168.1.183</t>
  </si>
  <si>
    <t>192.168.1.184</t>
  </si>
  <si>
    <t>192.168.1.185</t>
  </si>
  <si>
    <t>192.168.1.198</t>
  </si>
  <si>
    <t>192.168.1.199</t>
  </si>
  <si>
    <t>192.168.1.200</t>
  </si>
  <si>
    <t>192.168.1.201</t>
  </si>
  <si>
    <t>192.168.1.214</t>
  </si>
  <si>
    <t>192.168.1.215</t>
  </si>
  <si>
    <t>192.168.1.216</t>
  </si>
  <si>
    <t>192.168.1.217</t>
  </si>
  <si>
    <t>192.168.1.246</t>
  </si>
  <si>
    <t>192.168.1.247</t>
  </si>
  <si>
    <t>192.168.1.248</t>
  </si>
  <si>
    <t>192.168.1.249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</si>
</sst>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C000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7" fillId="0" borderId="0" xfId="0" applyFont="1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49" fontId="0" fillId="3" borderId="0" xfId="0" applyNumberFormat="1" applyFill="1"/>
    <xf numFmtId="49" fontId="1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3" fillId="5" borderId="0" xfId="0" applyFont="1" applyFill="1"/>
    <xf numFmtId="0" fontId="0" fillId="6" borderId="0" xfId="0" applyFill="1"/>
    <xf numFmtId="0" fontId="0" fillId="4" borderId="1" xfId="0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4" xfId="0" applyBorder="1"/>
    <xf numFmtId="0" fontId="0" fillId="0" borderId="7" xfId="0" applyBorder="1"/>
    <xf numFmtId="3" fontId="0" fillId="0" borderId="6" xfId="0" applyNumberForma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7" fillId="0" borderId="3" xfId="0" applyNumberFormat="1" applyFont="1" applyBorder="1" applyAlignment="1">
      <alignment horizontal="center"/>
    </xf>
    <xf numFmtId="3" fontId="7" fillId="0" borderId="0" xfId="0" applyNumberFormat="1" applyFont="1" applyAlignment="1">
      <alignment horizontal="center"/>
    </xf>
    <xf numFmtId="49" fontId="7" fillId="0" borderId="3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5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/>
    </xf>
    <xf numFmtId="0" fontId="14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0" fillId="0" borderId="0" xfId="0" quotePrefix="1"/>
    <xf numFmtId="0" fontId="0" fillId="0" borderId="0" xfId="0" applyFill="1"/>
    <xf numFmtId="0" fontId="0" fillId="7" borderId="0" xfId="0" applyFill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>
      <alignment wrapText="1"/>
    </xf>
    <xf numFmtId="0" fontId="0" fillId="8" borderId="8" xfId="0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zoomScaleNormal="100" workbookViewId="0">
      <selection activeCell="D4" sqref="D4"/>
    </sheetView>
  </sheetViews>
  <sheetFormatPr defaultColWidth="11.42578125" defaultRowHeight="14.45"/>
  <cols>
    <col min="1" max="1" width="10.5703125" customWidth="1"/>
    <col min="2" max="2" width="12.5703125" customWidth="1"/>
    <col min="3" max="3" width="14.42578125" customWidth="1"/>
    <col min="4" max="4" width="14.5703125" customWidth="1"/>
    <col min="5" max="5" width="8" customWidth="1"/>
    <col min="6" max="8" width="16.5703125" customWidth="1"/>
    <col min="9" max="9" width="15.28515625" customWidth="1"/>
    <col min="10" max="10" width="2.5703125" customWidth="1"/>
    <col min="12" max="12" width="8.5703125" customWidth="1"/>
  </cols>
  <sheetData>
    <row r="1" spans="1:9" ht="15" thickBot="1"/>
    <row r="2" spans="1:9" ht="15.6" customHeight="1" thickBot="1">
      <c r="A2" s="49" t="s">
        <v>0</v>
      </c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  <c r="H2" s="48" t="s">
        <v>7</v>
      </c>
      <c r="I2" s="48" t="s">
        <v>8</v>
      </c>
    </row>
    <row r="3" spans="1:9" ht="15" thickBot="1">
      <c r="A3" s="49"/>
      <c r="B3" s="48"/>
      <c r="C3" s="48"/>
      <c r="D3" s="48"/>
      <c r="E3" s="48"/>
      <c r="F3" s="48"/>
      <c r="G3" s="48"/>
      <c r="H3" s="48"/>
      <c r="I3" s="48"/>
    </row>
    <row r="4" spans="1:9" ht="23.1" customHeight="1" thickBot="1">
      <c r="A4" s="1">
        <v>1</v>
      </c>
      <c r="B4" s="2">
        <v>103</v>
      </c>
      <c r="C4" s="3">
        <v>126</v>
      </c>
      <c r="D4" s="4" t="s">
        <v>9</v>
      </c>
      <c r="E4" s="4">
        <v>25</v>
      </c>
      <c r="F4" s="3">
        <v>255255255128</v>
      </c>
      <c r="G4" s="4" t="s">
        <v>10</v>
      </c>
      <c r="H4" s="4" t="s">
        <v>11</v>
      </c>
      <c r="I4" s="4" t="s">
        <v>12</v>
      </c>
    </row>
    <row r="5" spans="1:9" ht="23.1" customHeight="1" thickBot="1">
      <c r="A5" s="1">
        <v>2</v>
      </c>
      <c r="B5" s="2">
        <v>53</v>
      </c>
      <c r="C5" s="3">
        <v>62</v>
      </c>
      <c r="D5" s="4" t="s">
        <v>13</v>
      </c>
      <c r="E5" s="4">
        <v>26</v>
      </c>
      <c r="F5" s="3">
        <v>255255255192</v>
      </c>
      <c r="G5" s="4" t="s">
        <v>14</v>
      </c>
      <c r="H5" s="3" t="s">
        <v>15</v>
      </c>
      <c r="I5" s="3" t="s">
        <v>16</v>
      </c>
    </row>
    <row r="6" spans="1:9" ht="23.1" customHeight="1" thickBot="1">
      <c r="A6" s="1">
        <v>3</v>
      </c>
      <c r="B6" s="2">
        <v>23</v>
      </c>
      <c r="C6" s="3">
        <v>30</v>
      </c>
      <c r="D6" s="3" t="s">
        <v>17</v>
      </c>
      <c r="E6" s="4">
        <v>27</v>
      </c>
      <c r="F6" s="3">
        <v>255255255224</v>
      </c>
      <c r="G6" s="4" t="s">
        <v>18</v>
      </c>
      <c r="H6" s="3" t="s">
        <v>19</v>
      </c>
      <c r="I6" s="3" t="s">
        <v>20</v>
      </c>
    </row>
    <row r="7" spans="1:9" ht="23.1" customHeight="1" thickBot="1">
      <c r="A7" s="11" t="s">
        <v>21</v>
      </c>
      <c r="B7" s="12">
        <v>2</v>
      </c>
      <c r="C7" s="13">
        <v>2</v>
      </c>
      <c r="D7" s="14" t="s">
        <v>22</v>
      </c>
      <c r="E7" s="14">
        <v>30</v>
      </c>
      <c r="F7" s="13">
        <v>255255255252</v>
      </c>
      <c r="G7" s="14" t="s">
        <v>23</v>
      </c>
      <c r="H7" s="13" t="s">
        <v>24</v>
      </c>
      <c r="I7" s="13" t="s">
        <v>25</v>
      </c>
    </row>
    <row r="8" spans="1:9" ht="18.600000000000001" thickBot="1">
      <c r="A8" s="11" t="s">
        <v>26</v>
      </c>
      <c r="B8" s="12">
        <v>2</v>
      </c>
      <c r="C8" s="13">
        <v>2</v>
      </c>
      <c r="D8" s="14" t="s">
        <v>27</v>
      </c>
      <c r="E8" s="14">
        <v>30</v>
      </c>
      <c r="F8" s="13">
        <v>255255255252</v>
      </c>
      <c r="G8" s="14" t="s">
        <v>28</v>
      </c>
      <c r="H8" s="15" t="s">
        <v>29</v>
      </c>
      <c r="I8" s="15" t="s">
        <v>30</v>
      </c>
    </row>
    <row r="9" spans="1:9" ht="18.600000000000001" thickBot="1">
      <c r="A9" s="11" t="s">
        <v>31</v>
      </c>
      <c r="B9" s="16">
        <v>2</v>
      </c>
      <c r="C9" s="16">
        <v>2</v>
      </c>
      <c r="D9" s="14" t="s">
        <v>32</v>
      </c>
      <c r="E9" s="16">
        <v>30</v>
      </c>
      <c r="F9" s="13">
        <v>255255255252</v>
      </c>
      <c r="G9" s="15" t="s">
        <v>33</v>
      </c>
      <c r="H9" s="16" t="s">
        <v>34</v>
      </c>
      <c r="I9" s="16" t="s">
        <v>35</v>
      </c>
    </row>
    <row r="10" spans="1:9" ht="18.600000000000001" thickBot="1">
      <c r="A10" s="1"/>
      <c r="B10" s="7"/>
      <c r="C10" s="7"/>
      <c r="D10" s="4"/>
      <c r="E10" s="7"/>
      <c r="F10" s="3"/>
      <c r="G10" s="7"/>
      <c r="H10" s="7"/>
      <c r="I10" s="7"/>
    </row>
    <row r="11" spans="1:9" ht="18.600000000000001" thickBot="1">
      <c r="A11" s="1"/>
      <c r="B11" s="6"/>
      <c r="C11" s="6"/>
      <c r="D11" s="4"/>
      <c r="E11" s="6"/>
      <c r="F11" s="5"/>
      <c r="G11" s="7"/>
      <c r="H11" s="7"/>
      <c r="I11" s="7"/>
    </row>
    <row r="12" spans="1:9" ht="18.600000000000001" thickBot="1">
      <c r="A12" s="1"/>
      <c r="B12" s="6"/>
      <c r="C12" s="6"/>
      <c r="D12" s="4"/>
      <c r="E12" s="6"/>
      <c r="F12" s="5"/>
      <c r="G12" s="7"/>
      <c r="H12" s="7"/>
      <c r="I12" s="7"/>
    </row>
    <row r="13" spans="1:9" ht="18.600000000000001" thickBot="1">
      <c r="A13" s="1"/>
      <c r="B13" s="6"/>
      <c r="C13" s="6"/>
      <c r="D13" s="4"/>
      <c r="E13" s="6"/>
      <c r="F13" s="5"/>
      <c r="G13" s="7"/>
      <c r="H13" s="7"/>
      <c r="I13" s="7"/>
    </row>
    <row r="14" spans="1:9" ht="18.600000000000001" thickBot="1">
      <c r="A14" s="1"/>
      <c r="B14" s="6"/>
      <c r="C14" s="6"/>
      <c r="D14" s="4"/>
      <c r="E14" s="6"/>
      <c r="F14" s="5"/>
      <c r="G14" s="7"/>
      <c r="H14" s="7"/>
      <c r="I14" s="7"/>
    </row>
    <row r="16" spans="1:9" ht="21">
      <c r="A16" s="9">
        <v>128</v>
      </c>
      <c r="B16" s="9">
        <v>64</v>
      </c>
      <c r="C16" s="9">
        <v>32</v>
      </c>
      <c r="D16" s="9">
        <v>16</v>
      </c>
      <c r="E16" s="9">
        <v>8</v>
      </c>
      <c r="F16" s="9">
        <v>4</v>
      </c>
      <c r="G16" s="9">
        <v>2</v>
      </c>
      <c r="H16" s="9">
        <v>1</v>
      </c>
    </row>
    <row r="17" spans="1:8">
      <c r="A17" s="8">
        <v>1</v>
      </c>
      <c r="B17" s="8">
        <v>1</v>
      </c>
      <c r="C17" s="8">
        <v>1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</row>
    <row r="19" spans="1:8" ht="18">
      <c r="B19" s="10">
        <v>256</v>
      </c>
      <c r="C19" s="10" t="s">
        <v>36</v>
      </c>
    </row>
    <row r="20" spans="1:8" ht="18">
      <c r="B20" s="10">
        <f>A16+B16+C16</f>
        <v>224</v>
      </c>
      <c r="C20" s="10"/>
    </row>
    <row r="21" spans="1:8" ht="18">
      <c r="B21" s="10">
        <f>B19-B20</f>
        <v>32</v>
      </c>
      <c r="C21" s="10" t="s">
        <v>37</v>
      </c>
      <c r="G21">
        <v>53</v>
      </c>
    </row>
    <row r="22" spans="1:8">
      <c r="G22">
        <v>23</v>
      </c>
    </row>
    <row r="23" spans="1:8">
      <c r="G23">
        <v>103</v>
      </c>
    </row>
  </sheetData>
  <mergeCells count="9">
    <mergeCell ref="I2:I3"/>
    <mergeCell ref="B2:B3"/>
    <mergeCell ref="A2:A3"/>
    <mergeCell ref="C2:C3"/>
    <mergeCell ref="D2:D3"/>
    <mergeCell ref="E2:E3"/>
    <mergeCell ref="F2:F3"/>
    <mergeCell ref="G2:G3"/>
    <mergeCell ref="H2:H3"/>
  </mergeCells>
  <pageMargins left="0.7" right="0.06" top="0.28999999999999998" bottom="0.24" header="0.19" footer="0.1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8313-F728-43DB-ABEF-DD90A409D89A}">
  <dimension ref="A1:N60"/>
  <sheetViews>
    <sheetView tabSelected="1" topLeftCell="A31" workbookViewId="0">
      <selection activeCell="B53" sqref="B53"/>
    </sheetView>
  </sheetViews>
  <sheetFormatPr defaultRowHeight="15"/>
  <cols>
    <col min="1" max="1" width="74.28515625" customWidth="1"/>
    <col min="2" max="2" width="32.140625" bestFit="1" customWidth="1"/>
    <col min="4" max="4" width="13.7109375" customWidth="1"/>
    <col min="6" max="6" width="7.7109375" customWidth="1"/>
    <col min="7" max="7" width="4.85546875" customWidth="1"/>
    <col min="8" max="8" width="21.28515625" customWidth="1"/>
    <col min="9" max="9" width="11.42578125" customWidth="1"/>
    <col min="11" max="12" width="9.5703125" bestFit="1" customWidth="1"/>
    <col min="13" max="13" width="5.5703125" customWidth="1"/>
    <col min="14" max="14" width="22.42578125" customWidth="1"/>
  </cols>
  <sheetData>
    <row r="1" spans="1:14">
      <c r="A1" t="s">
        <v>38</v>
      </c>
      <c r="B1" t="s">
        <v>39</v>
      </c>
    </row>
    <row r="2" spans="1:14" ht="15" customHeight="1">
      <c r="A2" s="69" t="s">
        <v>40</v>
      </c>
      <c r="H2" s="64" t="s">
        <v>41</v>
      </c>
      <c r="I2" s="64">
        <v>192</v>
      </c>
      <c r="J2" s="64">
        <v>168</v>
      </c>
      <c r="K2" s="64">
        <v>1</v>
      </c>
      <c r="L2" s="64">
        <v>64</v>
      </c>
      <c r="M2" s="36"/>
      <c r="N2" t="s">
        <v>42</v>
      </c>
    </row>
    <row r="3" spans="1:14">
      <c r="H3" t="s">
        <v>43</v>
      </c>
      <c r="I3">
        <v>11111111</v>
      </c>
      <c r="J3">
        <v>11111111</v>
      </c>
      <c r="K3">
        <v>11111111</v>
      </c>
      <c r="L3" s="62">
        <v>11000000</v>
      </c>
      <c r="N3" t="s">
        <v>44</v>
      </c>
    </row>
    <row r="4" spans="1:14">
      <c r="B4" t="s">
        <v>45</v>
      </c>
      <c r="C4" t="s">
        <v>46</v>
      </c>
      <c r="D4" t="s">
        <v>47</v>
      </c>
      <c r="E4" t="s">
        <v>48</v>
      </c>
    </row>
    <row r="5" spans="1:14">
      <c r="B5" t="s">
        <v>49</v>
      </c>
      <c r="C5" t="s">
        <v>50</v>
      </c>
      <c r="D5" t="s">
        <v>51</v>
      </c>
      <c r="E5" t="s">
        <v>52</v>
      </c>
      <c r="H5" t="s">
        <v>53</v>
      </c>
      <c r="I5">
        <v>255</v>
      </c>
      <c r="J5">
        <v>255</v>
      </c>
      <c r="K5" s="63">
        <v>255</v>
      </c>
      <c r="L5" s="71">
        <v>192</v>
      </c>
    </row>
    <row r="6" spans="1:14">
      <c r="B6" t="s">
        <v>54</v>
      </c>
      <c r="C6" t="s">
        <v>55</v>
      </c>
      <c r="D6" t="s">
        <v>56</v>
      </c>
      <c r="E6" t="s">
        <v>57</v>
      </c>
    </row>
    <row r="7" spans="1:14">
      <c r="H7" t="s">
        <v>58</v>
      </c>
      <c r="I7" t="s">
        <v>59</v>
      </c>
      <c r="K7" t="s">
        <v>60</v>
      </c>
      <c r="N7" t="s">
        <v>61</v>
      </c>
    </row>
    <row r="8" spans="1:14">
      <c r="N8">
        <v>64</v>
      </c>
    </row>
    <row r="9" spans="1:14">
      <c r="B9" s="70">
        <v>128</v>
      </c>
      <c r="C9" s="70">
        <v>64</v>
      </c>
      <c r="D9" s="65">
        <v>32</v>
      </c>
      <c r="E9" s="65">
        <v>16</v>
      </c>
      <c r="F9" s="65">
        <v>8</v>
      </c>
      <c r="G9" s="65">
        <v>4</v>
      </c>
      <c r="H9" s="65">
        <v>2</v>
      </c>
      <c r="I9" s="65">
        <v>1</v>
      </c>
    </row>
    <row r="10" spans="1:14">
      <c r="B10" s="65">
        <v>1</v>
      </c>
      <c r="C10" s="65">
        <v>1</v>
      </c>
      <c r="D10" s="65">
        <v>0</v>
      </c>
      <c r="E10" s="65">
        <v>0</v>
      </c>
      <c r="F10" s="65">
        <v>0</v>
      </c>
      <c r="G10" s="65">
        <v>0</v>
      </c>
      <c r="H10" s="65">
        <v>0</v>
      </c>
      <c r="I10" s="65">
        <v>0</v>
      </c>
    </row>
    <row r="14" spans="1:14">
      <c r="A14" s="69" t="s">
        <v>62</v>
      </c>
    </row>
    <row r="23" spans="1:1">
      <c r="A23" s="66" t="s">
        <v>63</v>
      </c>
    </row>
    <row r="24" spans="1:1">
      <c r="A24" s="67" t="s">
        <v>64</v>
      </c>
    </row>
    <row r="25" spans="1:1">
      <c r="A25" s="67" t="s">
        <v>65</v>
      </c>
    </row>
    <row r="26" spans="1:1">
      <c r="A26" s="67" t="s">
        <v>66</v>
      </c>
    </row>
    <row r="27" spans="1:1">
      <c r="A27" s="68" t="s">
        <v>67</v>
      </c>
    </row>
    <row r="35" spans="1:1" ht="45.75">
      <c r="A35" s="69" t="s">
        <v>68</v>
      </c>
    </row>
    <row r="48" spans="1:1">
      <c r="A48" s="65" t="s">
        <v>69</v>
      </c>
    </row>
    <row r="60" spans="1:1">
      <c r="A60" s="6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07BB-5A41-4CFB-AF02-BE28F4B568A3}">
  <dimension ref="A1:O21"/>
  <sheetViews>
    <sheetView zoomScaleNormal="100" workbookViewId="0">
      <selection activeCell="B8" sqref="B8:C10"/>
    </sheetView>
  </sheetViews>
  <sheetFormatPr defaultColWidth="11.42578125" defaultRowHeight="14.45"/>
  <cols>
    <col min="1" max="1" width="10.5703125" customWidth="1"/>
    <col min="2" max="2" width="12.5703125" customWidth="1"/>
    <col min="3" max="3" width="14.42578125" customWidth="1"/>
    <col min="4" max="4" width="14.5703125" customWidth="1"/>
    <col min="5" max="5" width="8" customWidth="1"/>
    <col min="6" max="6" width="19.28515625" bestFit="1" customWidth="1"/>
    <col min="7" max="8" width="16.5703125" customWidth="1"/>
    <col min="9" max="9" width="15.28515625" customWidth="1"/>
    <col min="10" max="10" width="10.28515625" customWidth="1"/>
    <col min="12" max="12" width="8.5703125" customWidth="1"/>
  </cols>
  <sheetData>
    <row r="1" spans="1:15" ht="15" thickBot="1"/>
    <row r="2" spans="1:15" ht="15.6" customHeight="1" thickBot="1">
      <c r="A2" s="49" t="s">
        <v>0</v>
      </c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  <c r="H2" s="48" t="s">
        <v>7</v>
      </c>
      <c r="I2" s="48" t="s">
        <v>8</v>
      </c>
      <c r="J2" s="49" t="s">
        <v>71</v>
      </c>
    </row>
    <row r="3" spans="1:15" ht="15" thickBot="1">
      <c r="A3" s="49"/>
      <c r="B3" s="48"/>
      <c r="C3" s="48"/>
      <c r="D3" s="48"/>
      <c r="E3" s="48"/>
      <c r="F3" s="48"/>
      <c r="G3" s="48"/>
      <c r="H3" s="48"/>
      <c r="I3" s="48"/>
      <c r="J3" s="49"/>
    </row>
    <row r="4" spans="1:15" ht="23.1" customHeight="1" thickBot="1">
      <c r="A4" s="1">
        <v>1</v>
      </c>
      <c r="B4" s="2">
        <v>44</v>
      </c>
      <c r="C4" s="3">
        <v>62</v>
      </c>
      <c r="D4" s="4" t="s">
        <v>72</v>
      </c>
      <c r="E4" s="4">
        <v>26</v>
      </c>
      <c r="F4" s="3">
        <v>255255255192</v>
      </c>
      <c r="G4" s="4" t="s">
        <v>73</v>
      </c>
      <c r="H4" s="4" t="s">
        <v>74</v>
      </c>
      <c r="I4" s="4" t="s">
        <v>75</v>
      </c>
      <c r="J4" s="4">
        <v>6</v>
      </c>
    </row>
    <row r="5" spans="1:15" ht="23.1" customHeight="1" thickBot="1">
      <c r="A5" s="1">
        <v>2</v>
      </c>
      <c r="B5" s="2">
        <v>22</v>
      </c>
      <c r="C5" s="3">
        <v>30</v>
      </c>
      <c r="D5" s="4" t="s">
        <v>76</v>
      </c>
      <c r="E5" s="4">
        <v>27</v>
      </c>
      <c r="F5" s="3">
        <v>255255255224</v>
      </c>
      <c r="G5" s="4" t="s">
        <v>77</v>
      </c>
      <c r="H5" s="3" t="s">
        <v>78</v>
      </c>
      <c r="I5" s="3" t="s">
        <v>79</v>
      </c>
      <c r="J5" s="4">
        <v>5</v>
      </c>
    </row>
    <row r="6" spans="1:15" ht="23.1" customHeight="1" thickBot="1">
      <c r="A6" s="1">
        <v>3</v>
      </c>
      <c r="B6" s="2">
        <v>20</v>
      </c>
      <c r="C6" s="3">
        <v>30</v>
      </c>
      <c r="D6" s="3" t="s">
        <v>80</v>
      </c>
      <c r="E6" s="4">
        <v>27</v>
      </c>
      <c r="F6" s="3">
        <v>255255255224</v>
      </c>
      <c r="G6" s="4" t="s">
        <v>81</v>
      </c>
      <c r="H6" s="3" t="s">
        <v>82</v>
      </c>
      <c r="I6" s="3" t="s">
        <v>83</v>
      </c>
      <c r="J6" s="4">
        <v>5</v>
      </c>
    </row>
    <row r="7" spans="1:15" ht="23.1" customHeight="1" thickBot="1">
      <c r="A7" s="17">
        <v>4</v>
      </c>
      <c r="B7" s="2">
        <v>14</v>
      </c>
      <c r="C7" s="2">
        <v>14</v>
      </c>
      <c r="D7" s="3" t="s">
        <v>84</v>
      </c>
      <c r="E7" s="3">
        <v>28</v>
      </c>
      <c r="F7" s="3">
        <v>255255255240</v>
      </c>
      <c r="G7" s="3" t="s">
        <v>85</v>
      </c>
      <c r="H7" s="3" t="s">
        <v>86</v>
      </c>
      <c r="I7" s="3" t="s">
        <v>87</v>
      </c>
      <c r="J7" s="3">
        <v>4</v>
      </c>
      <c r="K7" s="50" t="s">
        <v>88</v>
      </c>
      <c r="L7" s="50"/>
      <c r="M7" s="50"/>
      <c r="N7" s="50"/>
      <c r="O7" s="50"/>
    </row>
    <row r="8" spans="1:15" ht="24" thickBot="1">
      <c r="A8" s="11" t="s">
        <v>21</v>
      </c>
      <c r="B8" s="12">
        <v>2</v>
      </c>
      <c r="C8" s="13">
        <v>2</v>
      </c>
      <c r="D8" s="3" t="s">
        <v>89</v>
      </c>
      <c r="E8" s="3">
        <v>30</v>
      </c>
      <c r="F8" s="3">
        <v>255255255252</v>
      </c>
      <c r="G8" s="3" t="s">
        <v>90</v>
      </c>
      <c r="H8" s="3" t="s">
        <v>91</v>
      </c>
      <c r="I8" s="3" t="s">
        <v>92</v>
      </c>
      <c r="J8" s="3"/>
      <c r="K8" s="20">
        <v>20</v>
      </c>
    </row>
    <row r="9" spans="1:15" ht="24" thickBot="1">
      <c r="A9" s="11" t="s">
        <v>26</v>
      </c>
      <c r="B9" s="16">
        <v>2</v>
      </c>
      <c r="C9" s="16">
        <v>2</v>
      </c>
      <c r="D9" s="3" t="s">
        <v>93</v>
      </c>
      <c r="E9" s="16">
        <v>30</v>
      </c>
      <c r="F9" s="3">
        <v>255255255252</v>
      </c>
      <c r="G9" s="3" t="s">
        <v>94</v>
      </c>
      <c r="H9" s="3" t="s">
        <v>95</v>
      </c>
      <c r="I9" s="3" t="s">
        <v>96</v>
      </c>
      <c r="J9" s="3"/>
      <c r="K9" s="20">
        <v>14</v>
      </c>
    </row>
    <row r="10" spans="1:15" ht="24" thickBot="1">
      <c r="A10" s="11" t="s">
        <v>31</v>
      </c>
      <c r="B10" s="7">
        <v>2</v>
      </c>
      <c r="C10" s="7">
        <v>2</v>
      </c>
      <c r="D10" s="3" t="s">
        <v>97</v>
      </c>
      <c r="E10" s="7">
        <v>30</v>
      </c>
      <c r="F10" s="3">
        <v>255255255252</v>
      </c>
      <c r="G10" s="3" t="s">
        <v>98</v>
      </c>
      <c r="H10" s="3" t="s">
        <v>99</v>
      </c>
      <c r="I10" s="3" t="s">
        <v>100</v>
      </c>
      <c r="J10" s="3"/>
      <c r="K10" s="20">
        <v>22</v>
      </c>
    </row>
    <row r="11" spans="1:15" ht="24" thickBot="1">
      <c r="A11" s="1" t="s">
        <v>101</v>
      </c>
      <c r="B11" s="6">
        <v>2</v>
      </c>
      <c r="C11" s="6">
        <v>2</v>
      </c>
      <c r="D11" s="4" t="s">
        <v>102</v>
      </c>
      <c r="E11" s="6">
        <v>30</v>
      </c>
      <c r="F11" s="5">
        <v>255255255252</v>
      </c>
      <c r="G11" s="7" t="s">
        <v>103</v>
      </c>
      <c r="H11" s="7" t="s">
        <v>104</v>
      </c>
      <c r="I11" s="7" t="s">
        <v>105</v>
      </c>
      <c r="J11" s="6"/>
      <c r="K11" s="20">
        <v>44</v>
      </c>
    </row>
    <row r="12" spans="1:15" ht="18.600000000000001" thickBot="1">
      <c r="A12" s="1" t="s">
        <v>106</v>
      </c>
      <c r="B12" s="6">
        <v>2</v>
      </c>
      <c r="C12" s="6">
        <v>2</v>
      </c>
      <c r="D12" s="4" t="s">
        <v>107</v>
      </c>
      <c r="E12" s="6">
        <v>30</v>
      </c>
      <c r="F12" s="5">
        <v>255255255252</v>
      </c>
      <c r="G12" s="7" t="s">
        <v>108</v>
      </c>
      <c r="H12" s="7" t="s">
        <v>109</v>
      </c>
      <c r="I12" s="7" t="s">
        <v>110</v>
      </c>
      <c r="J12" s="6"/>
    </row>
    <row r="13" spans="1:15" ht="18.600000000000001" thickBot="1">
      <c r="A13" s="1" t="s">
        <v>111</v>
      </c>
      <c r="B13" s="6">
        <v>2</v>
      </c>
      <c r="C13" s="6">
        <v>2</v>
      </c>
      <c r="D13" s="4" t="s">
        <v>112</v>
      </c>
      <c r="E13" s="6">
        <v>30</v>
      </c>
      <c r="F13" s="5">
        <v>255255255252</v>
      </c>
      <c r="G13" s="7" t="s">
        <v>113</v>
      </c>
      <c r="H13" s="7" t="s">
        <v>114</v>
      </c>
      <c r="I13" s="7" t="s">
        <v>115</v>
      </c>
      <c r="J13" s="6"/>
    </row>
    <row r="14" spans="1:15" ht="18.600000000000001" thickBot="1">
      <c r="A14" s="1"/>
      <c r="B14" s="6"/>
      <c r="C14" s="6"/>
      <c r="D14" s="4"/>
      <c r="E14" s="6"/>
      <c r="F14" s="5"/>
      <c r="G14" s="7"/>
      <c r="H14" s="7"/>
      <c r="I14" s="7"/>
      <c r="J14" s="6"/>
    </row>
    <row r="16" spans="1:15" ht="21">
      <c r="A16" s="18">
        <v>128</v>
      </c>
      <c r="B16" s="18">
        <v>64</v>
      </c>
      <c r="C16" s="18">
        <v>32</v>
      </c>
      <c r="D16" s="18">
        <v>16</v>
      </c>
      <c r="E16" s="18">
        <v>8</v>
      </c>
      <c r="F16" s="18">
        <v>4</v>
      </c>
      <c r="G16" s="18">
        <v>2</v>
      </c>
      <c r="H16" s="18">
        <v>1</v>
      </c>
    </row>
    <row r="17" spans="1:8">
      <c r="A17" s="19">
        <v>1</v>
      </c>
      <c r="B17" s="19">
        <v>1</v>
      </c>
      <c r="C17" s="19">
        <v>1</v>
      </c>
      <c r="D17" s="19">
        <v>1</v>
      </c>
      <c r="E17" s="19">
        <v>0</v>
      </c>
      <c r="F17" s="19">
        <v>0</v>
      </c>
      <c r="G17" s="19">
        <v>0</v>
      </c>
      <c r="H17" s="19">
        <v>0</v>
      </c>
    </row>
    <row r="19" spans="1:8" ht="18">
      <c r="B19" s="10">
        <v>256</v>
      </c>
      <c r="C19" s="10" t="s">
        <v>36</v>
      </c>
    </row>
    <row r="20" spans="1:8" ht="18">
      <c r="B20" s="10">
        <f>SUM(A16:D16)</f>
        <v>240</v>
      </c>
      <c r="C20" s="10"/>
    </row>
    <row r="21" spans="1:8" ht="18">
      <c r="B21" s="10">
        <f>B19-B20</f>
        <v>16</v>
      </c>
      <c r="C21" s="10" t="s">
        <v>37</v>
      </c>
    </row>
  </sheetData>
  <mergeCells count="11">
    <mergeCell ref="F2:F3"/>
    <mergeCell ref="A2:A3"/>
    <mergeCell ref="B2:B3"/>
    <mergeCell ref="C2:C3"/>
    <mergeCell ref="D2:D3"/>
    <mergeCell ref="E2:E3"/>
    <mergeCell ref="G2:G3"/>
    <mergeCell ref="H2:H3"/>
    <mergeCell ref="I2:I3"/>
    <mergeCell ref="K7:O7"/>
    <mergeCell ref="J2:J3"/>
  </mergeCells>
  <pageMargins left="0.7" right="0.06" top="0.28999999999999998" bottom="0.24" header="0.19" footer="0.1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9C6F-1639-4B6E-A36D-36839AB34241}">
  <dimension ref="A1:O24"/>
  <sheetViews>
    <sheetView zoomScaleNormal="100" workbookViewId="0">
      <selection activeCell="F12" sqref="F12:F16"/>
    </sheetView>
  </sheetViews>
  <sheetFormatPr defaultColWidth="11.42578125" defaultRowHeight="14.45"/>
  <cols>
    <col min="1" max="1" width="9.5703125" customWidth="1"/>
    <col min="2" max="2" width="13.140625" customWidth="1"/>
    <col min="3" max="3" width="14.42578125" customWidth="1"/>
    <col min="4" max="4" width="14.5703125" customWidth="1"/>
    <col min="5" max="5" width="12.5703125" customWidth="1"/>
    <col min="6" max="6" width="19.28515625" bestFit="1" customWidth="1"/>
    <col min="7" max="8" width="16.5703125" customWidth="1"/>
    <col min="9" max="9" width="15.28515625" customWidth="1"/>
    <col min="10" max="10" width="10.28515625" customWidth="1"/>
    <col min="12" max="12" width="8.5703125" customWidth="1"/>
  </cols>
  <sheetData>
    <row r="1" spans="1:15">
      <c r="D1" s="21">
        <v>64</v>
      </c>
      <c r="E1" s="21">
        <v>0</v>
      </c>
      <c r="F1" s="21">
        <v>0</v>
      </c>
      <c r="G1" s="21">
        <v>0</v>
      </c>
      <c r="H1" s="21"/>
    </row>
    <row r="2" spans="1:15">
      <c r="D2" s="21">
        <v>255</v>
      </c>
      <c r="E2" s="24" t="s">
        <v>116</v>
      </c>
      <c r="F2" s="21" t="s">
        <v>117</v>
      </c>
      <c r="G2" s="21" t="s">
        <v>117</v>
      </c>
      <c r="H2" s="21"/>
    </row>
    <row r="4" spans="1:15" ht="15" thickBot="1"/>
    <row r="5" spans="1:15" ht="15.6" customHeight="1" thickBot="1">
      <c r="A5" s="49" t="s">
        <v>0</v>
      </c>
      <c r="B5" s="48" t="s">
        <v>1</v>
      </c>
      <c r="C5" s="48" t="s">
        <v>2</v>
      </c>
      <c r="D5" s="48" t="s">
        <v>3</v>
      </c>
      <c r="E5" s="48" t="s">
        <v>4</v>
      </c>
      <c r="F5" s="48" t="s">
        <v>5</v>
      </c>
      <c r="G5" s="48" t="s">
        <v>6</v>
      </c>
      <c r="H5" s="48" t="s">
        <v>7</v>
      </c>
      <c r="I5" s="48" t="s">
        <v>8</v>
      </c>
      <c r="J5" s="49" t="s">
        <v>71</v>
      </c>
    </row>
    <row r="6" spans="1:15" ht="15" thickBot="1">
      <c r="A6" s="49"/>
      <c r="B6" s="48"/>
      <c r="C6" s="48"/>
      <c r="D6" s="48"/>
      <c r="E6" s="48"/>
      <c r="F6" s="48"/>
      <c r="G6" s="48"/>
      <c r="H6" s="48"/>
      <c r="I6" s="48"/>
      <c r="J6" s="49"/>
    </row>
    <row r="7" spans="1:15" ht="23.1" customHeight="1" thickBot="1">
      <c r="A7" s="1">
        <v>1</v>
      </c>
      <c r="B7" s="2">
        <v>4000000</v>
      </c>
      <c r="C7" s="3">
        <v>4194302</v>
      </c>
      <c r="D7" s="4" t="s">
        <v>118</v>
      </c>
      <c r="E7" s="4">
        <v>10</v>
      </c>
      <c r="F7" s="3" t="s">
        <v>119</v>
      </c>
      <c r="G7" s="4" t="s">
        <v>120</v>
      </c>
      <c r="H7" s="4" t="s">
        <v>121</v>
      </c>
      <c r="I7" s="4" t="s">
        <v>122</v>
      </c>
      <c r="J7" s="22" t="s">
        <v>123</v>
      </c>
    </row>
    <row r="8" spans="1:15" ht="23.1" customHeight="1" thickBot="1">
      <c r="A8" s="1">
        <v>2</v>
      </c>
      <c r="B8" s="2">
        <v>3000000</v>
      </c>
      <c r="C8" s="3">
        <v>4194302</v>
      </c>
      <c r="D8" s="4" t="s">
        <v>124</v>
      </c>
      <c r="E8" s="4">
        <v>10</v>
      </c>
      <c r="F8" s="3" t="s">
        <v>119</v>
      </c>
      <c r="G8" s="4" t="s">
        <v>125</v>
      </c>
      <c r="H8" s="3">
        <v>64127255254</v>
      </c>
      <c r="I8" s="3">
        <v>64127255255</v>
      </c>
      <c r="J8" s="22" t="s">
        <v>123</v>
      </c>
    </row>
    <row r="9" spans="1:15" ht="23.1" customHeight="1" thickBot="1">
      <c r="A9" s="1">
        <v>3</v>
      </c>
      <c r="B9" s="2">
        <v>2000000</v>
      </c>
      <c r="C9" s="3">
        <v>2097150</v>
      </c>
      <c r="D9" s="3" t="s">
        <v>126</v>
      </c>
      <c r="E9" s="4">
        <v>11</v>
      </c>
      <c r="F9" s="3" t="s">
        <v>127</v>
      </c>
      <c r="G9" s="4" t="s">
        <v>128</v>
      </c>
      <c r="H9" s="3">
        <v>64159255254</v>
      </c>
      <c r="I9" s="3">
        <v>64159255255</v>
      </c>
      <c r="J9" s="22" t="s">
        <v>129</v>
      </c>
    </row>
    <row r="10" spans="1:15" ht="23.1" customHeight="1" thickBot="1">
      <c r="A10" s="17">
        <v>4</v>
      </c>
      <c r="B10" s="2">
        <v>1000000</v>
      </c>
      <c r="C10" s="2">
        <v>1048574</v>
      </c>
      <c r="D10" s="3" t="s">
        <v>130</v>
      </c>
      <c r="E10" s="3">
        <v>12</v>
      </c>
      <c r="F10" s="3" t="s">
        <v>131</v>
      </c>
      <c r="G10" s="3" t="s">
        <v>132</v>
      </c>
      <c r="H10" s="3">
        <v>64175255254</v>
      </c>
      <c r="I10" s="3">
        <v>64175255255</v>
      </c>
      <c r="J10" s="22" t="s">
        <v>133</v>
      </c>
      <c r="K10" s="50" t="s">
        <v>88</v>
      </c>
      <c r="L10" s="50"/>
      <c r="M10" s="50"/>
      <c r="N10" s="50"/>
      <c r="O10" s="50"/>
    </row>
    <row r="11" spans="1:15" ht="24" thickBot="1">
      <c r="A11" s="11"/>
      <c r="B11" s="12">
        <v>500000</v>
      </c>
      <c r="C11" s="13">
        <v>524286</v>
      </c>
      <c r="D11" s="3" t="s">
        <v>134</v>
      </c>
      <c r="E11" s="3">
        <v>13</v>
      </c>
      <c r="F11" s="3" t="s">
        <v>135</v>
      </c>
      <c r="G11" s="3" t="s">
        <v>136</v>
      </c>
      <c r="H11" s="3">
        <v>64183255254</v>
      </c>
      <c r="I11" s="3">
        <v>64183255255</v>
      </c>
      <c r="J11" s="22" t="s">
        <v>137</v>
      </c>
      <c r="K11" s="20"/>
    </row>
    <row r="12" spans="1:15" ht="24" thickBot="1">
      <c r="A12" s="11" t="s">
        <v>21</v>
      </c>
      <c r="B12" s="16">
        <v>2</v>
      </c>
      <c r="C12" s="16">
        <v>2</v>
      </c>
      <c r="D12" s="3" t="s">
        <v>138</v>
      </c>
      <c r="E12" s="16">
        <v>30</v>
      </c>
      <c r="F12" s="3">
        <v>255255255252</v>
      </c>
      <c r="G12" s="3" t="s">
        <v>139</v>
      </c>
      <c r="H12" s="3" t="s">
        <v>140</v>
      </c>
      <c r="I12" s="3" t="s">
        <v>141</v>
      </c>
      <c r="J12" s="22"/>
      <c r="K12" s="20"/>
    </row>
    <row r="13" spans="1:15" ht="24" thickBot="1">
      <c r="A13" s="11" t="s">
        <v>26</v>
      </c>
      <c r="B13" s="7">
        <v>2</v>
      </c>
      <c r="C13" s="7">
        <v>2</v>
      </c>
      <c r="D13" s="3" t="s">
        <v>142</v>
      </c>
      <c r="E13" s="16">
        <v>30</v>
      </c>
      <c r="F13" s="3">
        <v>255255255252</v>
      </c>
      <c r="G13" s="3" t="s">
        <v>143</v>
      </c>
      <c r="H13" s="3" t="s">
        <v>144</v>
      </c>
      <c r="I13" s="3" t="s">
        <v>145</v>
      </c>
      <c r="J13" s="22"/>
      <c r="K13" s="20"/>
    </row>
    <row r="14" spans="1:15" ht="24" thickBot="1">
      <c r="A14" s="1" t="s">
        <v>31</v>
      </c>
      <c r="B14" s="7">
        <v>2</v>
      </c>
      <c r="C14" s="7">
        <v>2</v>
      </c>
      <c r="D14" s="3" t="s">
        <v>146</v>
      </c>
      <c r="E14" s="16">
        <v>30</v>
      </c>
      <c r="F14" s="3">
        <v>255255255252</v>
      </c>
      <c r="G14" s="7" t="s">
        <v>147</v>
      </c>
      <c r="H14" s="7" t="s">
        <v>148</v>
      </c>
      <c r="I14" s="7" t="s">
        <v>149</v>
      </c>
      <c r="J14" s="23"/>
      <c r="K14" s="20"/>
    </row>
    <row r="15" spans="1:15" ht="18.600000000000001" thickBot="1">
      <c r="A15" s="1" t="s">
        <v>101</v>
      </c>
      <c r="B15" s="7">
        <v>2</v>
      </c>
      <c r="C15" s="7">
        <v>2</v>
      </c>
      <c r="D15" s="3" t="s">
        <v>150</v>
      </c>
      <c r="E15" s="16">
        <v>30</v>
      </c>
      <c r="F15" s="3">
        <v>255255255252</v>
      </c>
      <c r="G15" s="7" t="s">
        <v>151</v>
      </c>
      <c r="H15" s="7" t="s">
        <v>152</v>
      </c>
      <c r="I15" s="7" t="s">
        <v>153</v>
      </c>
      <c r="J15" s="23"/>
    </row>
    <row r="16" spans="1:15" ht="18.600000000000001" thickBot="1">
      <c r="A16" s="1" t="s">
        <v>106</v>
      </c>
      <c r="B16" s="7">
        <v>2</v>
      </c>
      <c r="C16" s="7">
        <v>2</v>
      </c>
      <c r="D16" s="3" t="s">
        <v>154</v>
      </c>
      <c r="E16" s="16">
        <v>30</v>
      </c>
      <c r="F16" s="3">
        <v>255255255252</v>
      </c>
      <c r="G16" s="7" t="s">
        <v>155</v>
      </c>
      <c r="H16" s="7" t="s">
        <v>156</v>
      </c>
      <c r="I16" s="7" t="s">
        <v>157</v>
      </c>
      <c r="J16" s="23"/>
    </row>
    <row r="17" spans="1:10" ht="18.600000000000001" thickBot="1">
      <c r="A17" s="1"/>
      <c r="B17" s="6"/>
      <c r="C17" s="6"/>
      <c r="D17" s="4"/>
      <c r="E17" s="6"/>
      <c r="F17" s="5"/>
      <c r="G17" s="7"/>
      <c r="H17" s="7"/>
      <c r="I17" s="7"/>
      <c r="J17" s="23"/>
    </row>
    <row r="19" spans="1:10" ht="21">
      <c r="A19" s="18">
        <v>128</v>
      </c>
      <c r="B19" s="18">
        <v>64</v>
      </c>
      <c r="C19" s="18">
        <v>32</v>
      </c>
      <c r="D19" s="18">
        <v>16</v>
      </c>
      <c r="E19" s="18">
        <v>8</v>
      </c>
      <c r="F19" s="18">
        <v>4</v>
      </c>
      <c r="G19" s="18">
        <v>2</v>
      </c>
      <c r="H19" s="18">
        <v>1</v>
      </c>
    </row>
    <row r="20" spans="1:10">
      <c r="A20" s="19">
        <v>1</v>
      </c>
      <c r="B20" s="19">
        <v>1</v>
      </c>
      <c r="C20" s="19">
        <v>1</v>
      </c>
      <c r="D20" s="19">
        <v>1</v>
      </c>
      <c r="E20" s="19">
        <v>1</v>
      </c>
      <c r="F20" s="19">
        <v>0</v>
      </c>
      <c r="G20" s="19">
        <v>0</v>
      </c>
      <c r="H20" s="19">
        <v>0</v>
      </c>
    </row>
    <row r="22" spans="1:10" ht="18">
      <c r="B22" s="10">
        <v>256</v>
      </c>
      <c r="C22" s="10" t="s">
        <v>36</v>
      </c>
    </row>
    <row r="23" spans="1:10" ht="18">
      <c r="B23" s="10">
        <f>SUM(A19:E19)</f>
        <v>248</v>
      </c>
      <c r="C23" s="10"/>
    </row>
    <row r="24" spans="1:10" ht="18">
      <c r="B24" s="10">
        <f>B22-B23</f>
        <v>8</v>
      </c>
      <c r="C24" s="10" t="s">
        <v>37</v>
      </c>
    </row>
  </sheetData>
  <mergeCells count="11">
    <mergeCell ref="G5:G6"/>
    <mergeCell ref="H5:H6"/>
    <mergeCell ref="I5:I6"/>
    <mergeCell ref="J5:J6"/>
    <mergeCell ref="K10:O10"/>
    <mergeCell ref="F5:F6"/>
    <mergeCell ref="A5:A6"/>
    <mergeCell ref="B5:B6"/>
    <mergeCell ref="C5:C6"/>
    <mergeCell ref="D5:D6"/>
    <mergeCell ref="E5:E6"/>
  </mergeCells>
  <pageMargins left="0.7" right="0.06" top="0.28999999999999998" bottom="0.24" header="0.19" footer="0.15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7511-0A5C-4932-A472-4FC618566474}">
  <dimension ref="A1:O24"/>
  <sheetViews>
    <sheetView zoomScaleNormal="100" workbookViewId="0">
      <selection activeCell="D9" sqref="D9"/>
    </sheetView>
  </sheetViews>
  <sheetFormatPr defaultColWidth="11.42578125" defaultRowHeight="14.45"/>
  <cols>
    <col min="1" max="1" width="9.5703125" customWidth="1"/>
    <col min="2" max="2" width="13.140625" customWidth="1"/>
    <col min="3" max="3" width="14.42578125" customWidth="1"/>
    <col min="4" max="4" width="14.5703125" customWidth="1"/>
    <col min="5" max="5" width="12.5703125" customWidth="1"/>
    <col min="6" max="6" width="19.28515625" bestFit="1" customWidth="1"/>
    <col min="7" max="8" width="16.5703125" customWidth="1"/>
    <col min="9" max="9" width="15.28515625" customWidth="1"/>
    <col min="10" max="10" width="10.28515625" customWidth="1"/>
    <col min="12" max="12" width="8.5703125" customWidth="1"/>
  </cols>
  <sheetData>
    <row r="1" spans="1:15">
      <c r="D1" s="21">
        <v>64</v>
      </c>
      <c r="E1" s="21">
        <v>0</v>
      </c>
      <c r="F1" s="21">
        <v>0</v>
      </c>
      <c r="G1" s="21">
        <v>0</v>
      </c>
      <c r="H1" s="21"/>
    </row>
    <row r="2" spans="1:15">
      <c r="D2" s="21">
        <v>255</v>
      </c>
      <c r="E2" s="24" t="s">
        <v>116</v>
      </c>
      <c r="F2" s="21" t="s">
        <v>117</v>
      </c>
      <c r="G2" s="21" t="s">
        <v>117</v>
      </c>
      <c r="H2" s="21"/>
    </row>
    <row r="4" spans="1:15" ht="15" thickBot="1"/>
    <row r="5" spans="1:15" ht="15.6" customHeight="1" thickBot="1">
      <c r="A5" s="49" t="s">
        <v>0</v>
      </c>
      <c r="B5" s="48" t="s">
        <v>1</v>
      </c>
      <c r="C5" s="48" t="s">
        <v>2</v>
      </c>
      <c r="D5" s="48" t="s">
        <v>3</v>
      </c>
      <c r="E5" s="48" t="s">
        <v>4</v>
      </c>
      <c r="F5" s="48" t="s">
        <v>5</v>
      </c>
      <c r="G5" s="48" t="s">
        <v>6</v>
      </c>
      <c r="H5" s="48" t="s">
        <v>7</v>
      </c>
      <c r="I5" s="48" t="s">
        <v>8</v>
      </c>
      <c r="J5" s="49" t="s">
        <v>71</v>
      </c>
    </row>
    <row r="6" spans="1:15" ht="15" thickBot="1">
      <c r="A6" s="49"/>
      <c r="B6" s="48"/>
      <c r="C6" s="48"/>
      <c r="D6" s="48"/>
      <c r="E6" s="48"/>
      <c r="F6" s="48"/>
      <c r="G6" s="48"/>
      <c r="H6" s="48"/>
      <c r="I6" s="48"/>
      <c r="J6" s="49"/>
    </row>
    <row r="7" spans="1:15" ht="23.1" customHeight="1" thickBot="1">
      <c r="A7" s="1">
        <v>1</v>
      </c>
      <c r="B7" s="25"/>
      <c r="C7" s="22"/>
      <c r="D7" s="22"/>
      <c r="E7" s="22"/>
      <c r="F7" s="22"/>
      <c r="G7" s="22"/>
      <c r="H7" s="22"/>
      <c r="I7" s="22"/>
      <c r="J7" s="22"/>
    </row>
    <row r="8" spans="1:15" ht="23.1" customHeight="1" thickBot="1">
      <c r="A8" s="1">
        <v>2</v>
      </c>
      <c r="B8" s="25"/>
      <c r="C8" s="22"/>
      <c r="D8" s="22"/>
      <c r="E8" s="22"/>
      <c r="F8" s="22"/>
      <c r="G8" s="22"/>
      <c r="H8" s="22"/>
      <c r="I8" s="22"/>
      <c r="J8" s="22"/>
    </row>
    <row r="9" spans="1:15" ht="23.1" customHeight="1" thickBot="1">
      <c r="A9" s="1">
        <v>3</v>
      </c>
      <c r="B9" s="25"/>
      <c r="C9" s="22"/>
      <c r="D9" s="22"/>
      <c r="E9" s="22"/>
      <c r="F9" s="22"/>
      <c r="G9" s="22"/>
      <c r="H9" s="22"/>
      <c r="I9" s="22"/>
      <c r="J9" s="22"/>
    </row>
    <row r="10" spans="1:15" ht="23.1" customHeight="1" thickBot="1">
      <c r="A10" s="17" t="s">
        <v>21</v>
      </c>
      <c r="B10" s="25"/>
      <c r="C10" s="25"/>
      <c r="D10" s="22"/>
      <c r="E10" s="22"/>
      <c r="F10" s="22"/>
      <c r="G10" s="22"/>
      <c r="H10" s="22"/>
      <c r="I10" s="22"/>
      <c r="J10" s="22"/>
      <c r="K10" s="55" t="s">
        <v>88</v>
      </c>
      <c r="L10" s="55"/>
      <c r="M10" s="55"/>
      <c r="N10" s="55"/>
      <c r="O10" s="55"/>
    </row>
    <row r="11" spans="1:15" ht="24" thickBot="1">
      <c r="A11" s="11" t="s">
        <v>26</v>
      </c>
      <c r="B11" s="26"/>
      <c r="C11" s="27"/>
      <c r="D11" s="22"/>
      <c r="E11" s="22"/>
      <c r="F11" s="22"/>
      <c r="G11" s="22"/>
      <c r="H11" s="22"/>
      <c r="I11" s="22"/>
      <c r="J11" s="22"/>
      <c r="K11" s="51">
        <v>700000</v>
      </c>
      <c r="L11" s="52"/>
    </row>
    <row r="12" spans="1:15" ht="24" thickBot="1">
      <c r="A12" s="11" t="s">
        <v>31</v>
      </c>
      <c r="B12" s="28"/>
      <c r="C12" s="28"/>
      <c r="D12" s="22"/>
      <c r="E12" s="28"/>
      <c r="F12" s="22"/>
      <c r="G12" s="22"/>
      <c r="H12" s="22"/>
      <c r="I12" s="22"/>
      <c r="J12" s="22"/>
      <c r="K12" s="51">
        <v>1200000</v>
      </c>
      <c r="L12" s="52"/>
    </row>
    <row r="13" spans="1:15" ht="24" thickBot="1">
      <c r="A13" s="11"/>
      <c r="B13" s="7"/>
      <c r="C13" s="7"/>
      <c r="D13" s="3"/>
      <c r="E13" s="16"/>
      <c r="F13" s="3"/>
      <c r="G13" s="3"/>
      <c r="H13" s="3"/>
      <c r="I13" s="3"/>
      <c r="J13" s="22"/>
      <c r="K13" s="51">
        <v>5000000</v>
      </c>
      <c r="L13" s="52"/>
    </row>
    <row r="14" spans="1:15" ht="24" thickBot="1">
      <c r="A14" s="1"/>
      <c r="B14" s="7"/>
      <c r="C14" s="7"/>
      <c r="D14" s="3"/>
      <c r="E14" s="16"/>
      <c r="F14" s="3"/>
      <c r="G14" s="7"/>
      <c r="H14" s="7"/>
      <c r="I14" s="7"/>
      <c r="J14" s="23"/>
      <c r="K14" s="53" t="s">
        <v>158</v>
      </c>
      <c r="L14" s="54"/>
    </row>
    <row r="15" spans="1:15" ht="18.600000000000001" thickBot="1">
      <c r="A15" s="1"/>
      <c r="B15" s="7"/>
      <c r="C15" s="7"/>
      <c r="D15" s="3"/>
      <c r="E15" s="16"/>
      <c r="F15" s="3"/>
      <c r="G15" s="7"/>
      <c r="H15" s="7"/>
      <c r="I15" s="7"/>
      <c r="J15" s="23"/>
    </row>
    <row r="16" spans="1:15" ht="18.600000000000001" thickBot="1">
      <c r="A16" s="1"/>
      <c r="B16" s="7"/>
      <c r="C16" s="7"/>
      <c r="D16" s="3"/>
      <c r="E16" s="16"/>
      <c r="F16" s="3"/>
      <c r="G16" s="7"/>
      <c r="H16" s="7"/>
      <c r="I16" s="7"/>
      <c r="J16" s="23"/>
    </row>
    <row r="17" spans="1:10" ht="18.600000000000001" thickBot="1">
      <c r="A17" s="1"/>
      <c r="B17" s="6"/>
      <c r="C17" s="6"/>
      <c r="D17" s="4"/>
      <c r="E17" s="6"/>
      <c r="F17" s="5"/>
      <c r="G17" s="7"/>
      <c r="H17" s="7"/>
      <c r="I17" s="7"/>
      <c r="J17" s="23"/>
    </row>
    <row r="19" spans="1:10" ht="21">
      <c r="A19" s="18">
        <v>128</v>
      </c>
      <c r="B19" s="18">
        <v>64</v>
      </c>
      <c r="C19" s="18">
        <v>32</v>
      </c>
      <c r="D19" s="18">
        <v>16</v>
      </c>
      <c r="E19" s="18">
        <v>8</v>
      </c>
      <c r="F19" s="18">
        <v>4</v>
      </c>
      <c r="G19" s="18">
        <v>2</v>
      </c>
      <c r="H19" s="18">
        <v>1</v>
      </c>
    </row>
    <row r="20" spans="1:10">
      <c r="A20" s="19"/>
      <c r="B20" s="19"/>
      <c r="C20" s="19"/>
      <c r="D20" s="19"/>
      <c r="E20" s="19"/>
      <c r="F20" s="19"/>
      <c r="G20" s="19"/>
      <c r="H20" s="19"/>
    </row>
    <row r="22" spans="1:10" ht="18">
      <c r="B22" s="10">
        <v>256</v>
      </c>
      <c r="C22" s="10" t="s">
        <v>36</v>
      </c>
    </row>
    <row r="23" spans="1:10" ht="18">
      <c r="B23" s="10">
        <f>SUM(A19:E19)</f>
        <v>248</v>
      </c>
      <c r="C23" s="10"/>
    </row>
    <row r="24" spans="1:10" ht="18">
      <c r="B24" s="10">
        <f>B22-B23</f>
        <v>8</v>
      </c>
      <c r="C24" s="10" t="s">
        <v>37</v>
      </c>
    </row>
  </sheetData>
  <mergeCells count="15">
    <mergeCell ref="K12:L12"/>
    <mergeCell ref="K13:L13"/>
    <mergeCell ref="K14:L14"/>
    <mergeCell ref="G5:G6"/>
    <mergeCell ref="H5:H6"/>
    <mergeCell ref="I5:I6"/>
    <mergeCell ref="J5:J6"/>
    <mergeCell ref="K10:O10"/>
    <mergeCell ref="K11:L11"/>
    <mergeCell ref="F5:F6"/>
    <mergeCell ref="A5:A6"/>
    <mergeCell ref="B5:B6"/>
    <mergeCell ref="C5:C6"/>
    <mergeCell ref="D5:D6"/>
    <mergeCell ref="E5:E6"/>
  </mergeCells>
  <pageMargins left="0.7" right="0.06" top="0.28999999999999998" bottom="0.24" header="0.19" footer="0.15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F8BB-C15F-4C27-A8A1-745410C53ED8}">
  <dimension ref="A1:O21"/>
  <sheetViews>
    <sheetView zoomScale="90" zoomScaleNormal="90" workbookViewId="0">
      <selection activeCell="C7" sqref="C7"/>
    </sheetView>
  </sheetViews>
  <sheetFormatPr defaultColWidth="11.42578125" defaultRowHeight="14.45"/>
  <cols>
    <col min="1" max="1" width="10.5703125" customWidth="1"/>
    <col min="2" max="2" width="12.5703125" customWidth="1"/>
    <col min="3" max="3" width="14.42578125" customWidth="1"/>
    <col min="4" max="4" width="14.7109375" customWidth="1"/>
    <col min="5" max="5" width="8" customWidth="1"/>
    <col min="6" max="8" width="16.5703125" customWidth="1"/>
    <col min="9" max="9" width="15.28515625" customWidth="1"/>
    <col min="10" max="10" width="13.5703125" customWidth="1"/>
    <col min="11" max="11" width="2.5703125" customWidth="1"/>
    <col min="13" max="13" width="8.5703125" customWidth="1"/>
  </cols>
  <sheetData>
    <row r="1" spans="1:15" ht="15" thickBot="1"/>
    <row r="2" spans="1:15" ht="15.6" customHeight="1" thickBot="1">
      <c r="A2" s="49" t="s">
        <v>0</v>
      </c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  <c r="H2" s="48" t="s">
        <v>7</v>
      </c>
      <c r="I2" s="48" t="s">
        <v>8</v>
      </c>
      <c r="J2" s="49" t="s">
        <v>159</v>
      </c>
    </row>
    <row r="3" spans="1:15" ht="15" thickBot="1">
      <c r="A3" s="49"/>
      <c r="B3" s="48"/>
      <c r="C3" s="48"/>
      <c r="D3" s="48"/>
      <c r="E3" s="48"/>
      <c r="F3" s="48"/>
      <c r="G3" s="48"/>
      <c r="H3" s="48"/>
      <c r="I3" s="48"/>
      <c r="J3" s="49"/>
      <c r="M3" s="21" t="s">
        <v>160</v>
      </c>
    </row>
    <row r="4" spans="1:15" ht="23.1" customHeight="1" thickBot="1">
      <c r="A4" s="1"/>
      <c r="B4" s="2">
        <v>30</v>
      </c>
      <c r="C4" s="3">
        <v>30</v>
      </c>
      <c r="D4" s="4" t="s">
        <v>9</v>
      </c>
      <c r="E4" s="4">
        <v>27</v>
      </c>
      <c r="F4" s="3">
        <v>255255255224</v>
      </c>
      <c r="G4" s="4" t="s">
        <v>10</v>
      </c>
      <c r="H4" s="4" t="s">
        <v>161</v>
      </c>
      <c r="I4" s="4" t="s">
        <v>162</v>
      </c>
      <c r="J4" s="6">
        <v>5</v>
      </c>
      <c r="L4" s="30">
        <v>2</v>
      </c>
      <c r="M4" s="21" t="s">
        <v>163</v>
      </c>
      <c r="O4" t="s">
        <v>164</v>
      </c>
    </row>
    <row r="5" spans="1:15" ht="23.1" customHeight="1" thickBot="1">
      <c r="A5" s="1"/>
      <c r="B5" s="2">
        <v>8</v>
      </c>
      <c r="C5" s="3">
        <v>14</v>
      </c>
      <c r="D5" s="4" t="s">
        <v>165</v>
      </c>
      <c r="E5" s="4">
        <v>28</v>
      </c>
      <c r="F5" s="3">
        <v>255255255240</v>
      </c>
      <c r="G5" s="4" t="s">
        <v>166</v>
      </c>
      <c r="H5" s="3" t="s">
        <v>167</v>
      </c>
      <c r="I5" s="3" t="s">
        <v>168</v>
      </c>
      <c r="J5" s="6">
        <v>4</v>
      </c>
      <c r="O5">
        <v>2</v>
      </c>
    </row>
    <row r="6" spans="1:15" ht="23.1" customHeight="1" thickBot="1">
      <c r="A6" s="1"/>
      <c r="B6" s="2">
        <v>2</v>
      </c>
      <c r="C6" s="3">
        <v>2</v>
      </c>
      <c r="D6" s="4" t="s">
        <v>169</v>
      </c>
      <c r="E6" s="4">
        <v>30</v>
      </c>
      <c r="F6" s="3">
        <v>255255255252</v>
      </c>
      <c r="G6" s="4" t="s">
        <v>170</v>
      </c>
      <c r="H6" s="3" t="s">
        <v>171</v>
      </c>
      <c r="I6" s="3" t="s">
        <v>172</v>
      </c>
      <c r="J6" s="6">
        <v>2</v>
      </c>
      <c r="O6">
        <v>30</v>
      </c>
    </row>
    <row r="7" spans="1:15" ht="23.1" customHeight="1" thickBot="1">
      <c r="A7" s="11" t="s">
        <v>173</v>
      </c>
      <c r="B7" s="12"/>
      <c r="C7" s="13"/>
      <c r="D7" s="4" t="s">
        <v>174</v>
      </c>
      <c r="E7" s="14">
        <v>30</v>
      </c>
      <c r="F7" s="3">
        <v>255255255252</v>
      </c>
      <c r="G7" s="14" t="s">
        <v>175</v>
      </c>
      <c r="H7" s="13" t="s">
        <v>176</v>
      </c>
      <c r="I7" s="13" t="s">
        <v>177</v>
      </c>
      <c r="J7" s="6"/>
      <c r="O7">
        <v>8</v>
      </c>
    </row>
    <row r="8" spans="1:15" ht="18.600000000000001" thickBot="1">
      <c r="A8" s="11" t="s">
        <v>178</v>
      </c>
      <c r="B8" s="12"/>
      <c r="C8" s="13"/>
      <c r="D8" s="14" t="s">
        <v>179</v>
      </c>
      <c r="E8" s="14">
        <v>30</v>
      </c>
      <c r="F8" s="3">
        <v>255255255252</v>
      </c>
      <c r="G8" s="14" t="s">
        <v>180</v>
      </c>
      <c r="H8" s="14" t="s">
        <v>181</v>
      </c>
      <c r="I8" s="14" t="s">
        <v>182</v>
      </c>
      <c r="J8" s="6"/>
    </row>
    <row r="9" spans="1:15" ht="18.600000000000001" thickBot="1">
      <c r="A9" s="11"/>
      <c r="B9" s="16"/>
      <c r="C9" s="16"/>
      <c r="D9" s="14"/>
      <c r="E9" s="16"/>
      <c r="F9" s="13"/>
      <c r="G9" s="15"/>
      <c r="H9" s="16"/>
      <c r="I9" s="16"/>
      <c r="J9" s="6"/>
    </row>
    <row r="10" spans="1:15" ht="18.600000000000001" thickBot="1">
      <c r="A10" s="1"/>
      <c r="B10" s="7"/>
      <c r="C10" s="7"/>
      <c r="D10" s="4"/>
      <c r="E10" s="7"/>
      <c r="F10" s="3"/>
      <c r="G10" s="7"/>
      <c r="H10" s="7"/>
      <c r="I10" s="7"/>
      <c r="J10" s="6"/>
    </row>
    <row r="11" spans="1:15" ht="18.600000000000001" thickBot="1">
      <c r="A11" s="1"/>
      <c r="B11" s="6"/>
      <c r="C11" s="6"/>
      <c r="D11" s="4"/>
      <c r="E11" s="6"/>
      <c r="F11" s="5"/>
      <c r="G11" s="7"/>
      <c r="H11" s="7"/>
      <c r="I11" s="7"/>
      <c r="J11" s="6"/>
    </row>
    <row r="12" spans="1:15" ht="18.600000000000001" thickBot="1">
      <c r="A12" s="1"/>
      <c r="B12" s="6"/>
      <c r="C12" s="6"/>
      <c r="D12" s="4"/>
      <c r="E12" s="6"/>
      <c r="F12" s="5"/>
      <c r="G12" s="7"/>
      <c r="H12" s="7"/>
      <c r="I12" s="7"/>
      <c r="J12" s="6"/>
    </row>
    <row r="13" spans="1:15" ht="18.600000000000001" thickBot="1">
      <c r="A13" s="1"/>
      <c r="B13" s="6"/>
      <c r="C13" s="6"/>
      <c r="D13" s="4"/>
      <c r="E13" s="6"/>
      <c r="F13" s="5"/>
      <c r="G13" s="7"/>
      <c r="H13" s="7"/>
      <c r="I13" s="7"/>
      <c r="J13" s="6"/>
    </row>
    <row r="14" spans="1:15" ht="18.600000000000001" thickBot="1">
      <c r="A14" s="1"/>
      <c r="B14" s="6"/>
      <c r="C14" s="6"/>
      <c r="D14" s="4"/>
      <c r="E14" s="6"/>
      <c r="F14" s="5"/>
      <c r="G14" s="7"/>
      <c r="H14" s="7"/>
      <c r="I14" s="7"/>
      <c r="J14" s="6"/>
    </row>
    <row r="16" spans="1:15" ht="21">
      <c r="A16" s="9">
        <v>128</v>
      </c>
      <c r="B16" s="9">
        <v>64</v>
      </c>
      <c r="C16" s="9">
        <v>32</v>
      </c>
      <c r="D16" s="9">
        <v>16</v>
      </c>
      <c r="E16" s="9">
        <v>8</v>
      </c>
      <c r="F16" s="9">
        <v>4</v>
      </c>
      <c r="G16" s="9">
        <v>2</v>
      </c>
      <c r="H16" s="9">
        <v>1</v>
      </c>
    </row>
    <row r="17" spans="1:8">
      <c r="A17" s="8">
        <v>1</v>
      </c>
      <c r="B17" s="8">
        <v>1</v>
      </c>
      <c r="C17" s="8">
        <v>1</v>
      </c>
      <c r="D17" s="8">
        <v>1</v>
      </c>
      <c r="E17" s="8">
        <v>1</v>
      </c>
      <c r="F17" s="8">
        <v>1</v>
      </c>
      <c r="G17" s="8">
        <v>0</v>
      </c>
      <c r="H17" s="8">
        <v>0</v>
      </c>
    </row>
    <row r="19" spans="1:8" ht="18">
      <c r="B19" s="10">
        <v>256</v>
      </c>
      <c r="C19" s="10" t="s">
        <v>36</v>
      </c>
    </row>
    <row r="20" spans="1:8" ht="18">
      <c r="B20" s="10">
        <v>252</v>
      </c>
      <c r="C20" s="10"/>
    </row>
    <row r="21" spans="1:8" ht="18">
      <c r="B21" s="31">
        <f>B19-B20</f>
        <v>4</v>
      </c>
      <c r="C21" s="31" t="s">
        <v>37</v>
      </c>
    </row>
  </sheetData>
  <mergeCells count="10">
    <mergeCell ref="G2:G3"/>
    <mergeCell ref="H2:H3"/>
    <mergeCell ref="I2:I3"/>
    <mergeCell ref="J2:J3"/>
    <mergeCell ref="A2:A3"/>
    <mergeCell ref="B2:B3"/>
    <mergeCell ref="C2:C3"/>
    <mergeCell ref="D2:D3"/>
    <mergeCell ref="E2:E3"/>
    <mergeCell ref="F2:F3"/>
  </mergeCells>
  <phoneticPr fontId="10" type="noConversion"/>
  <pageMargins left="0.7" right="0.06" top="0.28999999999999998" bottom="0.24" header="0.19" footer="0.15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40CF-85CF-4E0B-B52F-46F2C8752084}">
  <dimension ref="A1:O21"/>
  <sheetViews>
    <sheetView zoomScale="90" zoomScaleNormal="90" workbookViewId="0">
      <selection activeCell="I24" sqref="I24"/>
    </sheetView>
  </sheetViews>
  <sheetFormatPr defaultColWidth="11.42578125" defaultRowHeight="14.45"/>
  <cols>
    <col min="1" max="1" width="10.5703125" customWidth="1"/>
    <col min="2" max="2" width="12.5703125" customWidth="1"/>
    <col min="3" max="3" width="14.42578125" customWidth="1"/>
    <col min="4" max="4" width="14.7109375" customWidth="1"/>
    <col min="5" max="5" width="8" customWidth="1"/>
    <col min="6" max="8" width="16.5703125" customWidth="1"/>
    <col min="9" max="9" width="15.28515625" customWidth="1"/>
    <col min="10" max="10" width="13.5703125" customWidth="1"/>
    <col min="11" max="11" width="2.5703125" customWidth="1"/>
    <col min="13" max="13" width="8.5703125" customWidth="1"/>
    <col min="15" max="15" width="13.7109375" customWidth="1"/>
  </cols>
  <sheetData>
    <row r="1" spans="1:15" ht="15" thickBot="1"/>
    <row r="2" spans="1:15" ht="15.6" customHeight="1" thickBot="1">
      <c r="A2" s="49" t="s">
        <v>0</v>
      </c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  <c r="H2" s="48" t="s">
        <v>7</v>
      </c>
      <c r="I2" s="48" t="s">
        <v>8</v>
      </c>
      <c r="J2" s="49" t="s">
        <v>159</v>
      </c>
    </row>
    <row r="3" spans="1:15" ht="15" thickBot="1">
      <c r="A3" s="49"/>
      <c r="B3" s="48"/>
      <c r="C3" s="48"/>
      <c r="D3" s="48"/>
      <c r="E3" s="48"/>
      <c r="F3" s="48"/>
      <c r="G3" s="48"/>
      <c r="H3" s="48"/>
      <c r="I3" s="48"/>
      <c r="J3" s="49"/>
      <c r="M3" s="21" t="s">
        <v>160</v>
      </c>
    </row>
    <row r="4" spans="1:15" ht="23.1" customHeight="1" thickBot="1">
      <c r="A4" s="1">
        <v>1</v>
      </c>
      <c r="B4" s="2"/>
      <c r="C4" s="3"/>
      <c r="D4" s="4" t="s">
        <v>9</v>
      </c>
      <c r="E4" s="4">
        <v>26</v>
      </c>
      <c r="F4" s="3">
        <v>255255255192</v>
      </c>
      <c r="G4" s="4" t="s">
        <v>10</v>
      </c>
      <c r="H4" s="4" t="s">
        <v>183</v>
      </c>
      <c r="I4" s="4" t="s">
        <v>184</v>
      </c>
      <c r="J4" s="6"/>
      <c r="L4" s="30">
        <v>2</v>
      </c>
      <c r="M4" s="21" t="s">
        <v>163</v>
      </c>
      <c r="O4" t="s">
        <v>164</v>
      </c>
    </row>
    <row r="5" spans="1:15" ht="23.1" customHeight="1" thickBot="1">
      <c r="A5" s="1">
        <v>2</v>
      </c>
      <c r="B5" s="2"/>
      <c r="C5" s="3"/>
      <c r="D5" s="4" t="s">
        <v>185</v>
      </c>
      <c r="E5" s="4">
        <v>26</v>
      </c>
      <c r="F5" s="3">
        <v>255255255192</v>
      </c>
      <c r="G5" s="4" t="s">
        <v>186</v>
      </c>
      <c r="H5" s="3" t="s">
        <v>11</v>
      </c>
      <c r="I5" s="3" t="s">
        <v>12</v>
      </c>
      <c r="J5" s="6"/>
      <c r="O5" t="s">
        <v>187</v>
      </c>
    </row>
    <row r="6" spans="1:15" ht="23.1" customHeight="1" thickBot="1">
      <c r="A6" s="1">
        <v>3</v>
      </c>
      <c r="B6" s="2"/>
      <c r="C6" s="3"/>
      <c r="D6" s="4" t="s">
        <v>13</v>
      </c>
      <c r="E6" s="4">
        <v>26</v>
      </c>
      <c r="F6" s="3">
        <v>255255255192</v>
      </c>
      <c r="G6" s="4" t="s">
        <v>14</v>
      </c>
      <c r="H6" s="3" t="s">
        <v>15</v>
      </c>
      <c r="I6" s="3" t="s">
        <v>16</v>
      </c>
      <c r="J6" s="6"/>
    </row>
    <row r="7" spans="1:15" ht="23.1" customHeight="1" thickBot="1">
      <c r="A7" s="11">
        <v>4</v>
      </c>
      <c r="B7" s="12"/>
      <c r="C7" s="13"/>
      <c r="D7" s="4" t="s">
        <v>17</v>
      </c>
      <c r="E7" s="4">
        <v>26</v>
      </c>
      <c r="F7" s="3">
        <v>255255255192</v>
      </c>
      <c r="G7" s="14" t="s">
        <v>18</v>
      </c>
      <c r="H7" s="13" t="s">
        <v>188</v>
      </c>
      <c r="I7" s="13" t="s">
        <v>189</v>
      </c>
      <c r="J7" s="6"/>
    </row>
    <row r="8" spans="1:15" ht="18.600000000000001" thickBot="1">
      <c r="A8" s="11"/>
      <c r="B8" s="12"/>
      <c r="C8" s="13"/>
      <c r="D8" s="14"/>
      <c r="E8" s="14"/>
      <c r="F8" s="3"/>
      <c r="G8" s="14"/>
      <c r="H8" s="14"/>
      <c r="I8" s="14"/>
      <c r="J8" s="6"/>
    </row>
    <row r="9" spans="1:15" ht="18.600000000000001" thickBot="1">
      <c r="A9" s="11"/>
      <c r="B9" s="16"/>
      <c r="C9" s="16"/>
      <c r="D9" s="14"/>
      <c r="E9" s="16"/>
      <c r="F9" s="13"/>
      <c r="G9" s="15"/>
      <c r="H9" s="16"/>
      <c r="I9" s="16"/>
      <c r="J9" s="6"/>
    </row>
    <row r="10" spans="1:15" ht="18.600000000000001" thickBot="1">
      <c r="A10" s="1"/>
      <c r="B10" s="7"/>
      <c r="C10" s="7"/>
      <c r="D10" s="4"/>
      <c r="E10" s="7"/>
      <c r="F10" s="3"/>
      <c r="G10" s="7"/>
      <c r="H10" s="7"/>
      <c r="I10" s="7"/>
      <c r="J10" s="6"/>
      <c r="L10" t="s">
        <v>190</v>
      </c>
    </row>
    <row r="11" spans="1:15" ht="18.600000000000001" thickBot="1">
      <c r="A11" s="1"/>
      <c r="B11" s="6"/>
      <c r="C11" s="6"/>
      <c r="D11" s="4"/>
      <c r="E11" s="6"/>
      <c r="F11" s="5"/>
      <c r="G11" s="7"/>
      <c r="H11" s="7"/>
      <c r="I11" s="7"/>
      <c r="J11" s="6"/>
      <c r="M11" s="32">
        <v>2</v>
      </c>
    </row>
    <row r="12" spans="1:15" ht="18.600000000000001" thickBot="1">
      <c r="A12" s="1"/>
      <c r="B12" s="6"/>
      <c r="C12" s="6"/>
      <c r="D12" s="4"/>
      <c r="E12" s="6"/>
      <c r="F12" s="5"/>
      <c r="G12" s="7"/>
      <c r="H12" s="7"/>
      <c r="I12" s="7"/>
      <c r="J12" s="6"/>
      <c r="L12" s="30">
        <v>2</v>
      </c>
    </row>
    <row r="13" spans="1:15" ht="18.600000000000001" thickBot="1">
      <c r="A13" s="1"/>
      <c r="B13" s="6"/>
      <c r="C13" s="6"/>
      <c r="D13" s="4"/>
      <c r="E13" s="6"/>
      <c r="F13" s="5"/>
      <c r="G13" s="7"/>
      <c r="H13" s="7"/>
      <c r="I13" s="7"/>
      <c r="J13" s="6"/>
    </row>
    <row r="14" spans="1:15" ht="18.600000000000001" thickBot="1">
      <c r="A14" s="1"/>
      <c r="B14" s="6"/>
      <c r="C14" s="6"/>
      <c r="D14" s="4"/>
      <c r="E14" s="6"/>
      <c r="F14" s="5"/>
      <c r="G14" s="7"/>
      <c r="H14" s="7"/>
      <c r="I14" s="7"/>
      <c r="J14" s="6"/>
    </row>
    <row r="16" spans="1:15" ht="21">
      <c r="A16" s="9">
        <v>128</v>
      </c>
      <c r="B16" s="9">
        <v>64</v>
      </c>
      <c r="C16" s="9">
        <v>32</v>
      </c>
      <c r="D16" s="9">
        <v>16</v>
      </c>
      <c r="E16" s="9">
        <v>8</v>
      </c>
      <c r="F16" s="9">
        <v>4</v>
      </c>
      <c r="G16" s="9">
        <v>2</v>
      </c>
      <c r="H16" s="9">
        <v>1</v>
      </c>
    </row>
    <row r="17" spans="1:8">
      <c r="A17" s="8">
        <v>1</v>
      </c>
      <c r="B17" s="8">
        <v>1</v>
      </c>
      <c r="C17" s="8"/>
      <c r="D17" s="8"/>
      <c r="E17" s="8"/>
      <c r="F17" s="8"/>
      <c r="G17" s="8"/>
      <c r="H17" s="8"/>
    </row>
    <row r="19" spans="1:8" ht="18">
      <c r="B19" s="10">
        <v>256</v>
      </c>
      <c r="C19" s="10" t="s">
        <v>36</v>
      </c>
    </row>
    <row r="20" spans="1:8" ht="18">
      <c r="B20" s="10">
        <v>192</v>
      </c>
      <c r="C20" s="10"/>
    </row>
    <row r="21" spans="1:8" ht="18">
      <c r="B21" s="31">
        <f>B19-B20</f>
        <v>64</v>
      </c>
      <c r="C21" s="31" t="s">
        <v>37</v>
      </c>
    </row>
  </sheetData>
  <mergeCells count="10">
    <mergeCell ref="G2:G3"/>
    <mergeCell ref="H2:H3"/>
    <mergeCell ref="I2:I3"/>
    <mergeCell ref="J2:J3"/>
    <mergeCell ref="A2:A3"/>
    <mergeCell ref="B2:B3"/>
    <mergeCell ref="C2:C3"/>
    <mergeCell ref="D2:D3"/>
    <mergeCell ref="E2:E3"/>
    <mergeCell ref="F2:F3"/>
  </mergeCells>
  <phoneticPr fontId="10" type="noConversion"/>
  <pageMargins left="0.7" right="0.06" top="0.28999999999999998" bottom="0.24" header="0.19" footer="0.15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203A-1960-4122-B48F-B3CD1A384927}">
  <dimension ref="A1:O21"/>
  <sheetViews>
    <sheetView zoomScale="90" zoomScaleNormal="90" workbookViewId="0">
      <selection activeCell="E4" sqref="E4:F4"/>
    </sheetView>
  </sheetViews>
  <sheetFormatPr defaultColWidth="11.42578125" defaultRowHeight="14.45"/>
  <cols>
    <col min="1" max="1" width="10.5703125" customWidth="1"/>
    <col min="2" max="2" width="12.5703125" customWidth="1"/>
    <col min="3" max="3" width="14.42578125" customWidth="1"/>
    <col min="4" max="4" width="14.7109375" customWidth="1"/>
    <col min="5" max="5" width="8" customWidth="1"/>
    <col min="6" max="8" width="16.5703125" customWidth="1"/>
    <col min="9" max="9" width="15.28515625" customWidth="1"/>
    <col min="10" max="10" width="13.5703125" customWidth="1"/>
    <col min="11" max="11" width="2.5703125" customWidth="1"/>
    <col min="13" max="13" width="8.5703125" customWidth="1"/>
    <col min="15" max="15" width="13.7109375" customWidth="1"/>
  </cols>
  <sheetData>
    <row r="1" spans="1:15" ht="15" thickBot="1"/>
    <row r="2" spans="1:15" ht="15.6" customHeight="1" thickBot="1">
      <c r="A2" s="49" t="s">
        <v>0</v>
      </c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  <c r="H2" s="48" t="s">
        <v>7</v>
      </c>
      <c r="I2" s="48" t="s">
        <v>8</v>
      </c>
      <c r="J2" s="49" t="s">
        <v>191</v>
      </c>
    </row>
    <row r="3" spans="1:15" ht="15" thickBot="1">
      <c r="A3" s="49"/>
      <c r="B3" s="48"/>
      <c r="C3" s="48"/>
      <c r="D3" s="48"/>
      <c r="E3" s="48"/>
      <c r="F3" s="48"/>
      <c r="G3" s="48"/>
      <c r="H3" s="48"/>
      <c r="I3" s="48"/>
      <c r="J3" s="49"/>
      <c r="M3" s="21" t="s">
        <v>192</v>
      </c>
    </row>
    <row r="4" spans="1:15" ht="23.1" customHeight="1" thickBot="1">
      <c r="A4" s="1">
        <v>1</v>
      </c>
      <c r="B4" s="2"/>
      <c r="C4" s="3"/>
      <c r="D4" s="4" t="s">
        <v>9</v>
      </c>
      <c r="E4" s="4">
        <v>26</v>
      </c>
      <c r="F4" s="3">
        <v>255255255192</v>
      </c>
      <c r="G4" s="4" t="s">
        <v>10</v>
      </c>
      <c r="H4" s="4" t="s">
        <v>183</v>
      </c>
      <c r="I4" s="4" t="s">
        <v>184</v>
      </c>
      <c r="J4" s="6">
        <v>2</v>
      </c>
      <c r="L4" s="30">
        <v>2</v>
      </c>
      <c r="M4" s="21"/>
      <c r="O4" t="s">
        <v>164</v>
      </c>
    </row>
    <row r="5" spans="1:15" ht="23.1" customHeight="1" thickBot="1">
      <c r="A5" s="1">
        <v>2</v>
      </c>
      <c r="B5" s="2"/>
      <c r="C5" s="3"/>
      <c r="D5" s="4" t="s">
        <v>185</v>
      </c>
      <c r="E5" s="4"/>
      <c r="F5" s="3"/>
      <c r="G5" s="4" t="s">
        <v>186</v>
      </c>
      <c r="H5" s="3" t="s">
        <v>11</v>
      </c>
      <c r="I5" s="3" t="s">
        <v>12</v>
      </c>
      <c r="J5" s="6"/>
      <c r="O5" s="30" t="s">
        <v>193</v>
      </c>
    </row>
    <row r="6" spans="1:15" ht="23.1" customHeight="1" thickBot="1">
      <c r="A6" s="1">
        <v>3</v>
      </c>
      <c r="B6" s="2"/>
      <c r="C6" s="3"/>
      <c r="D6" s="4" t="s">
        <v>13</v>
      </c>
      <c r="E6" s="4"/>
      <c r="F6" s="3"/>
      <c r="G6" s="4" t="s">
        <v>194</v>
      </c>
      <c r="H6" s="3" t="s">
        <v>15</v>
      </c>
      <c r="I6" s="3" t="s">
        <v>16</v>
      </c>
      <c r="J6" s="6"/>
    </row>
    <row r="7" spans="1:15" ht="23.1" customHeight="1" thickBot="1">
      <c r="A7" s="11">
        <v>4</v>
      </c>
      <c r="B7" s="12"/>
      <c r="C7" s="13"/>
      <c r="D7" s="4" t="s">
        <v>17</v>
      </c>
      <c r="E7" s="4"/>
      <c r="F7" s="3"/>
      <c r="G7" s="14" t="s">
        <v>18</v>
      </c>
      <c r="H7" s="13" t="s">
        <v>188</v>
      </c>
      <c r="I7" s="13" t="s">
        <v>189</v>
      </c>
      <c r="J7" s="6"/>
    </row>
    <row r="8" spans="1:15" ht="18.600000000000001" thickBot="1">
      <c r="A8" s="11"/>
      <c r="B8" s="12"/>
      <c r="C8" s="13"/>
      <c r="D8" s="4"/>
      <c r="E8" s="14"/>
      <c r="F8" s="3"/>
      <c r="G8" s="14"/>
      <c r="H8" s="14"/>
      <c r="I8" s="14"/>
      <c r="J8" s="6"/>
    </row>
    <row r="9" spans="1:15" ht="18.600000000000001" thickBot="1">
      <c r="A9" s="11"/>
      <c r="B9" s="16"/>
      <c r="C9" s="16"/>
      <c r="D9" s="14"/>
      <c r="E9" s="16"/>
      <c r="F9" s="13"/>
      <c r="G9" s="15"/>
      <c r="H9" s="16"/>
      <c r="I9" s="16"/>
      <c r="J9" s="6"/>
    </row>
    <row r="10" spans="1:15" ht="18.600000000000001" thickBot="1">
      <c r="A10" s="1"/>
      <c r="B10" s="7"/>
      <c r="C10" s="7"/>
      <c r="D10" s="4"/>
      <c r="E10" s="7"/>
      <c r="F10" s="3"/>
      <c r="G10" s="7"/>
      <c r="H10" s="7"/>
      <c r="I10" s="7"/>
      <c r="J10" s="6"/>
      <c r="L10" t="s">
        <v>190</v>
      </c>
    </row>
    <row r="11" spans="1:15" ht="18.600000000000001" thickBot="1">
      <c r="A11" s="1"/>
      <c r="B11" s="6"/>
      <c r="C11" s="6"/>
      <c r="D11" s="4"/>
      <c r="E11" s="6"/>
      <c r="F11" s="5"/>
      <c r="G11" s="7"/>
      <c r="H11" s="7"/>
      <c r="I11" s="7"/>
      <c r="J11" s="6"/>
      <c r="M11" s="32">
        <v>2</v>
      </c>
    </row>
    <row r="12" spans="1:15" ht="18.600000000000001" thickBot="1">
      <c r="A12" s="1"/>
      <c r="B12" s="6"/>
      <c r="C12" s="6"/>
      <c r="D12" s="4"/>
      <c r="E12" s="6"/>
      <c r="F12" s="5"/>
      <c r="G12" s="7"/>
      <c r="H12" s="7"/>
      <c r="I12" s="7"/>
      <c r="J12" s="6"/>
      <c r="L12" s="30">
        <v>2</v>
      </c>
    </row>
    <row r="13" spans="1:15" ht="18.600000000000001" thickBot="1">
      <c r="A13" s="1"/>
      <c r="B13" s="6"/>
      <c r="C13" s="6"/>
      <c r="D13" s="4"/>
      <c r="E13" s="6"/>
      <c r="F13" s="5"/>
      <c r="G13" s="7"/>
      <c r="H13" s="7"/>
      <c r="I13" s="7"/>
      <c r="J13" s="6"/>
    </row>
    <row r="14" spans="1:15" ht="18.600000000000001" thickBot="1">
      <c r="A14" s="1"/>
      <c r="B14" s="6"/>
      <c r="C14" s="6"/>
      <c r="D14" s="4"/>
      <c r="E14" s="6"/>
      <c r="F14" s="5"/>
      <c r="G14" s="7"/>
      <c r="H14" s="7"/>
      <c r="I14" s="7"/>
      <c r="J14" s="6"/>
    </row>
    <row r="16" spans="1:15" ht="21">
      <c r="A16" s="9">
        <v>128</v>
      </c>
      <c r="B16" s="9">
        <v>64</v>
      </c>
      <c r="C16" s="9">
        <v>32</v>
      </c>
      <c r="D16" s="9">
        <v>16</v>
      </c>
      <c r="E16" s="9">
        <v>8</v>
      </c>
      <c r="F16" s="9">
        <v>4</v>
      </c>
      <c r="G16" s="9">
        <v>2</v>
      </c>
      <c r="H16" s="9">
        <v>1</v>
      </c>
    </row>
    <row r="17" spans="1:8">
      <c r="A17" s="8">
        <v>1</v>
      </c>
      <c r="B17" s="8">
        <v>1</v>
      </c>
      <c r="C17" s="8"/>
      <c r="D17" s="8"/>
      <c r="E17" s="8"/>
      <c r="F17" s="8"/>
      <c r="G17" s="8"/>
      <c r="H17" s="8"/>
    </row>
    <row r="19" spans="1:8" ht="18">
      <c r="B19" s="10">
        <v>256</v>
      </c>
      <c r="C19" s="10" t="s">
        <v>36</v>
      </c>
    </row>
    <row r="20" spans="1:8" ht="18">
      <c r="B20" s="10">
        <v>192</v>
      </c>
      <c r="C20" s="10"/>
    </row>
    <row r="21" spans="1:8" ht="18">
      <c r="B21" s="31">
        <f>B19-B20</f>
        <v>64</v>
      </c>
      <c r="C21" s="31" t="s">
        <v>37</v>
      </c>
    </row>
  </sheetData>
  <mergeCells count="10">
    <mergeCell ref="G2:G3"/>
    <mergeCell ref="H2:H3"/>
    <mergeCell ref="I2:I3"/>
    <mergeCell ref="J2:J3"/>
    <mergeCell ref="A2:A3"/>
    <mergeCell ref="B2:B3"/>
    <mergeCell ref="C2:C3"/>
    <mergeCell ref="D2:D3"/>
    <mergeCell ref="E2:E3"/>
    <mergeCell ref="F2:F3"/>
  </mergeCells>
  <phoneticPr fontId="10" type="noConversion"/>
  <pageMargins left="0.7" right="0.06" top="0.28999999999999998" bottom="0.24" header="0.19" footer="0.15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A320-C190-497F-A9A9-6C5164FDFC1D}">
  <dimension ref="A1:O21"/>
  <sheetViews>
    <sheetView zoomScale="90" zoomScaleNormal="90" workbookViewId="0">
      <selection activeCell="A7" sqref="A7:I9"/>
    </sheetView>
  </sheetViews>
  <sheetFormatPr defaultColWidth="11.42578125" defaultRowHeight="14.45"/>
  <cols>
    <col min="1" max="1" width="10.5703125" customWidth="1"/>
    <col min="2" max="2" width="12.5703125" customWidth="1"/>
    <col min="3" max="3" width="14.42578125" customWidth="1"/>
    <col min="4" max="4" width="14.7109375" customWidth="1"/>
    <col min="5" max="5" width="8" customWidth="1"/>
    <col min="6" max="8" width="16.5703125" customWidth="1"/>
    <col min="9" max="9" width="15.28515625" customWidth="1"/>
    <col min="10" max="10" width="13.5703125" customWidth="1"/>
    <col min="11" max="11" width="2.5703125" customWidth="1"/>
    <col min="13" max="13" width="8.5703125" customWidth="1"/>
    <col min="15" max="15" width="13.7109375" customWidth="1"/>
  </cols>
  <sheetData>
    <row r="1" spans="1:15" ht="15" thickBot="1"/>
    <row r="2" spans="1:15" ht="15.6" customHeight="1" thickBot="1">
      <c r="A2" s="49" t="s">
        <v>0</v>
      </c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  <c r="H2" s="48" t="s">
        <v>7</v>
      </c>
      <c r="I2" s="48" t="s">
        <v>8</v>
      </c>
      <c r="J2" s="49" t="s">
        <v>191</v>
      </c>
      <c r="L2" s="56" t="s">
        <v>195</v>
      </c>
      <c r="M2" s="56"/>
    </row>
    <row r="3" spans="1:15" ht="15" thickBot="1">
      <c r="A3" s="49"/>
      <c r="B3" s="48"/>
      <c r="C3" s="48"/>
      <c r="D3" s="48"/>
      <c r="E3" s="48"/>
      <c r="F3" s="48"/>
      <c r="G3" s="48"/>
      <c r="H3" s="48"/>
      <c r="I3" s="48"/>
      <c r="J3" s="49"/>
      <c r="M3" s="21" t="s">
        <v>192</v>
      </c>
    </row>
    <row r="4" spans="1:15" ht="23.1" customHeight="1" thickBot="1">
      <c r="A4" s="1"/>
      <c r="B4" s="2">
        <v>64</v>
      </c>
      <c r="C4" s="3">
        <v>126</v>
      </c>
      <c r="D4" s="4" t="s">
        <v>9</v>
      </c>
      <c r="E4" s="4">
        <v>25</v>
      </c>
      <c r="F4" s="3">
        <v>255255255128</v>
      </c>
      <c r="G4" s="4" t="s">
        <v>10</v>
      </c>
      <c r="H4" s="4" t="s">
        <v>11</v>
      </c>
      <c r="I4" s="4" t="s">
        <v>12</v>
      </c>
      <c r="J4" s="6">
        <v>7</v>
      </c>
      <c r="L4" s="30">
        <v>2</v>
      </c>
      <c r="M4" s="21" t="s">
        <v>163</v>
      </c>
      <c r="O4" t="s">
        <v>164</v>
      </c>
    </row>
    <row r="5" spans="1:15" ht="23.1" customHeight="1" thickBot="1">
      <c r="A5" s="1"/>
      <c r="B5" s="2">
        <v>8</v>
      </c>
      <c r="C5" s="3">
        <v>14</v>
      </c>
      <c r="D5" s="4" t="s">
        <v>13</v>
      </c>
      <c r="E5" s="4">
        <v>28</v>
      </c>
      <c r="F5" s="3">
        <v>255255255240</v>
      </c>
      <c r="G5" s="4" t="s">
        <v>14</v>
      </c>
      <c r="H5" s="3" t="s">
        <v>196</v>
      </c>
      <c r="I5" s="3" t="s">
        <v>197</v>
      </c>
      <c r="J5" s="6">
        <v>4</v>
      </c>
      <c r="O5" s="30" t="s">
        <v>198</v>
      </c>
    </row>
    <row r="6" spans="1:15" ht="23.1" customHeight="1" thickBot="1">
      <c r="A6" s="1"/>
      <c r="B6" s="2">
        <v>2</v>
      </c>
      <c r="C6" s="3">
        <v>2</v>
      </c>
      <c r="D6" s="4" t="s">
        <v>199</v>
      </c>
      <c r="E6" s="4">
        <v>30</v>
      </c>
      <c r="F6" s="3">
        <v>255255255252</v>
      </c>
      <c r="G6" s="4" t="s">
        <v>200</v>
      </c>
      <c r="H6" s="3" t="s">
        <v>201</v>
      </c>
      <c r="I6" s="3" t="s">
        <v>202</v>
      </c>
      <c r="J6" s="6">
        <v>2</v>
      </c>
      <c r="O6" s="30" t="s">
        <v>203</v>
      </c>
    </row>
    <row r="7" spans="1:15" ht="23.1" customHeight="1" thickBot="1">
      <c r="A7" s="43" t="s">
        <v>173</v>
      </c>
      <c r="B7" s="44">
        <v>2</v>
      </c>
      <c r="C7" s="45">
        <v>2</v>
      </c>
      <c r="D7" s="33" t="s">
        <v>204</v>
      </c>
      <c r="E7" s="33">
        <v>30</v>
      </c>
      <c r="F7" s="34">
        <v>255255255252</v>
      </c>
      <c r="G7" s="33" t="s">
        <v>205</v>
      </c>
      <c r="H7" s="33" t="s">
        <v>206</v>
      </c>
      <c r="I7" s="33" t="s">
        <v>207</v>
      </c>
      <c r="J7" s="6"/>
      <c r="O7" s="30" t="s">
        <v>66</v>
      </c>
    </row>
    <row r="8" spans="1:15" ht="18.600000000000001" thickBot="1">
      <c r="A8" s="43" t="s">
        <v>178</v>
      </c>
      <c r="B8" s="44">
        <v>2</v>
      </c>
      <c r="C8" s="45">
        <v>2</v>
      </c>
      <c r="D8" s="33" t="s">
        <v>208</v>
      </c>
      <c r="E8" s="33">
        <v>30</v>
      </c>
      <c r="F8" s="34">
        <v>255255255252</v>
      </c>
      <c r="G8" s="33" t="s">
        <v>209</v>
      </c>
      <c r="H8" s="33" t="s">
        <v>210</v>
      </c>
      <c r="I8" s="33" t="s">
        <v>211</v>
      </c>
      <c r="J8" s="6"/>
      <c r="O8" s="30" t="s">
        <v>212</v>
      </c>
    </row>
    <row r="9" spans="1:15" ht="18.600000000000001" thickBot="1">
      <c r="A9" s="43" t="s">
        <v>213</v>
      </c>
      <c r="B9" s="46">
        <v>2</v>
      </c>
      <c r="C9" s="46">
        <v>2</v>
      </c>
      <c r="D9" s="33" t="s">
        <v>214</v>
      </c>
      <c r="E9" s="33">
        <v>30</v>
      </c>
      <c r="F9" s="34">
        <v>255255255252</v>
      </c>
      <c r="G9" s="33" t="s">
        <v>215</v>
      </c>
      <c r="H9" s="33" t="s">
        <v>216</v>
      </c>
      <c r="I9" s="33" t="s">
        <v>217</v>
      </c>
      <c r="J9" s="6"/>
    </row>
    <row r="10" spans="1:15" ht="18.600000000000001" thickBot="1">
      <c r="A10" s="1"/>
      <c r="B10" s="7"/>
      <c r="C10" s="7"/>
      <c r="D10" s="4"/>
      <c r="E10" s="7"/>
      <c r="F10" s="3"/>
      <c r="G10" s="7"/>
      <c r="H10" s="7"/>
      <c r="I10" s="7"/>
      <c r="J10" s="6"/>
      <c r="L10" t="s">
        <v>190</v>
      </c>
    </row>
    <row r="11" spans="1:15" ht="18.600000000000001" thickBot="1">
      <c r="A11" s="1"/>
      <c r="B11" s="6"/>
      <c r="C11" s="6"/>
      <c r="D11" s="4"/>
      <c r="E11" s="6"/>
      <c r="F11" s="5"/>
      <c r="G11" s="7"/>
      <c r="H11" s="7"/>
      <c r="I11" s="7"/>
      <c r="J11" s="6"/>
      <c r="M11" s="32">
        <v>2</v>
      </c>
    </row>
    <row r="12" spans="1:15" ht="18.600000000000001" thickBot="1">
      <c r="A12" s="1"/>
      <c r="B12" s="6"/>
      <c r="C12" s="6"/>
      <c r="D12" s="4"/>
      <c r="E12" s="6"/>
      <c r="F12" s="5"/>
      <c r="G12" s="7"/>
      <c r="H12" s="7"/>
      <c r="I12" s="7"/>
      <c r="J12" s="6"/>
      <c r="L12" s="30">
        <v>2</v>
      </c>
    </row>
    <row r="13" spans="1:15" ht="18.600000000000001" thickBot="1">
      <c r="A13" s="1"/>
      <c r="B13" s="6"/>
      <c r="C13" s="6"/>
      <c r="D13" s="4"/>
      <c r="E13" s="6"/>
      <c r="F13" s="5"/>
      <c r="G13" s="7"/>
      <c r="H13" s="7"/>
      <c r="I13" s="7"/>
      <c r="J13" s="6"/>
    </row>
    <row r="14" spans="1:15" ht="18.600000000000001" thickBot="1">
      <c r="A14" s="1"/>
      <c r="B14" s="6"/>
      <c r="C14" s="6"/>
      <c r="D14" s="4"/>
      <c r="E14" s="6"/>
      <c r="F14" s="5"/>
      <c r="G14" s="7"/>
      <c r="H14" s="7"/>
      <c r="I14" s="7"/>
      <c r="J14" s="6"/>
    </row>
    <row r="16" spans="1:15" ht="21">
      <c r="A16" s="9">
        <v>128</v>
      </c>
      <c r="B16" s="9">
        <v>64</v>
      </c>
      <c r="C16" s="9">
        <v>32</v>
      </c>
      <c r="D16" s="9">
        <v>16</v>
      </c>
      <c r="E16" s="9">
        <v>8</v>
      </c>
      <c r="F16" s="9">
        <v>4</v>
      </c>
      <c r="G16" s="9">
        <v>2</v>
      </c>
      <c r="H16" s="9">
        <v>1</v>
      </c>
    </row>
    <row r="17" spans="1:8">
      <c r="A17" s="8">
        <v>1</v>
      </c>
      <c r="B17" s="8">
        <v>1</v>
      </c>
      <c r="C17" s="8">
        <v>1</v>
      </c>
      <c r="D17" s="8">
        <v>1</v>
      </c>
      <c r="E17" s="8">
        <v>1</v>
      </c>
      <c r="F17" s="8">
        <v>1</v>
      </c>
      <c r="G17" s="8">
        <v>0</v>
      </c>
      <c r="H17" s="8">
        <v>0</v>
      </c>
    </row>
    <row r="19" spans="1:8" ht="18">
      <c r="B19" s="10">
        <v>256</v>
      </c>
      <c r="C19" s="10" t="s">
        <v>36</v>
      </c>
    </row>
    <row r="20" spans="1:8" ht="18">
      <c r="B20" s="10">
        <v>252</v>
      </c>
      <c r="C20" s="10"/>
    </row>
    <row r="21" spans="1:8" ht="18">
      <c r="B21" s="31">
        <f>B19-B20</f>
        <v>4</v>
      </c>
      <c r="C21" s="31" t="s">
        <v>37</v>
      </c>
    </row>
  </sheetData>
  <mergeCells count="11">
    <mergeCell ref="G2:G3"/>
    <mergeCell ref="H2:H3"/>
    <mergeCell ref="I2:I3"/>
    <mergeCell ref="J2:J3"/>
    <mergeCell ref="L2:M2"/>
    <mergeCell ref="F2:F3"/>
    <mergeCell ref="A2:A3"/>
    <mergeCell ref="B2:B3"/>
    <mergeCell ref="C2:C3"/>
    <mergeCell ref="D2:D3"/>
    <mergeCell ref="E2:E3"/>
  </mergeCells>
  <pageMargins left="0.7" right="0.06" top="0.28999999999999998" bottom="0.24" header="0.19" footer="0.15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6F74-C3BD-4D1A-873E-29B01B162810}">
  <dimension ref="A1:O21"/>
  <sheetViews>
    <sheetView zoomScale="90" zoomScaleNormal="90" workbookViewId="0">
      <selection activeCell="J16" sqref="J16"/>
    </sheetView>
  </sheetViews>
  <sheetFormatPr defaultColWidth="11.42578125" defaultRowHeight="14.45"/>
  <cols>
    <col min="1" max="1" width="10.5703125" customWidth="1"/>
    <col min="2" max="2" width="12.5703125" customWidth="1"/>
    <col min="3" max="3" width="14.42578125" customWidth="1"/>
    <col min="4" max="4" width="14.7109375" customWidth="1"/>
    <col min="5" max="5" width="8" customWidth="1"/>
    <col min="6" max="8" width="16.5703125" customWidth="1"/>
    <col min="9" max="9" width="15.28515625" customWidth="1"/>
    <col min="10" max="10" width="13.5703125" customWidth="1"/>
    <col min="11" max="11" width="2.5703125" customWidth="1"/>
    <col min="13" max="13" width="8.5703125" customWidth="1"/>
    <col min="15" max="15" width="13.7109375" customWidth="1"/>
  </cols>
  <sheetData>
    <row r="1" spans="1:15" ht="15" thickBot="1"/>
    <row r="2" spans="1:15" ht="15.6" customHeight="1" thickBot="1">
      <c r="A2" s="49" t="s">
        <v>0</v>
      </c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  <c r="H2" s="48" t="s">
        <v>7</v>
      </c>
      <c r="I2" s="48" t="s">
        <v>8</v>
      </c>
      <c r="J2" s="49" t="s">
        <v>191</v>
      </c>
      <c r="L2" s="57" t="s">
        <v>195</v>
      </c>
      <c r="M2" s="57"/>
    </row>
    <row r="3" spans="1:15" ht="15" thickBot="1">
      <c r="A3" s="49"/>
      <c r="B3" s="48"/>
      <c r="C3" s="48"/>
      <c r="D3" s="48"/>
      <c r="E3" s="48"/>
      <c r="F3" s="48"/>
      <c r="G3" s="48"/>
      <c r="H3" s="48"/>
      <c r="I3" s="48"/>
      <c r="J3" s="49"/>
      <c r="M3" s="21" t="s">
        <v>192</v>
      </c>
    </row>
    <row r="4" spans="1:15" ht="23.1" customHeight="1" thickBot="1">
      <c r="A4" s="1"/>
      <c r="B4" s="2">
        <v>34</v>
      </c>
      <c r="C4" s="3">
        <v>62</v>
      </c>
      <c r="D4" s="4" t="s">
        <v>9</v>
      </c>
      <c r="E4" s="4">
        <v>26</v>
      </c>
      <c r="F4" s="3">
        <v>255255255192</v>
      </c>
      <c r="G4" s="4" t="s">
        <v>10</v>
      </c>
      <c r="H4" s="4" t="s">
        <v>183</v>
      </c>
      <c r="I4" s="4" t="s">
        <v>184</v>
      </c>
      <c r="J4" s="6">
        <v>6</v>
      </c>
      <c r="L4" s="30">
        <v>2</v>
      </c>
      <c r="M4" s="21" t="s">
        <v>163</v>
      </c>
      <c r="O4" t="s">
        <v>164</v>
      </c>
    </row>
    <row r="5" spans="1:15" ht="23.1" customHeight="1" thickBot="1">
      <c r="A5" s="1"/>
      <c r="B5" s="2">
        <v>10</v>
      </c>
      <c r="C5" s="3">
        <v>14</v>
      </c>
      <c r="D5" s="4" t="s">
        <v>185</v>
      </c>
      <c r="E5" s="4">
        <v>28</v>
      </c>
      <c r="F5" s="3">
        <v>255255255240</v>
      </c>
      <c r="G5" s="4" t="s">
        <v>186</v>
      </c>
      <c r="H5" s="3" t="s">
        <v>218</v>
      </c>
      <c r="I5" s="3" t="s">
        <v>219</v>
      </c>
      <c r="J5" s="6">
        <v>4</v>
      </c>
      <c r="O5" s="30">
        <v>34</v>
      </c>
    </row>
    <row r="6" spans="1:15" ht="23.1" customHeight="1" thickBot="1">
      <c r="A6" s="1" t="s">
        <v>21</v>
      </c>
      <c r="B6" s="2">
        <v>2</v>
      </c>
      <c r="C6" s="3">
        <v>2</v>
      </c>
      <c r="D6" s="4" t="s">
        <v>220</v>
      </c>
      <c r="E6" s="4">
        <v>30</v>
      </c>
      <c r="F6" s="3">
        <v>255255255252</v>
      </c>
      <c r="G6" s="4" t="s">
        <v>221</v>
      </c>
      <c r="H6" s="4" t="s">
        <v>222</v>
      </c>
      <c r="I6" s="4" t="s">
        <v>223</v>
      </c>
      <c r="J6" s="6"/>
      <c r="O6" s="30">
        <v>10</v>
      </c>
    </row>
    <row r="7" spans="1:15" ht="23.1" customHeight="1" thickBot="1">
      <c r="A7" s="11" t="s">
        <v>26</v>
      </c>
      <c r="B7" s="12">
        <v>2</v>
      </c>
      <c r="C7" s="13">
        <v>2</v>
      </c>
      <c r="D7" s="4" t="s">
        <v>224</v>
      </c>
      <c r="E7" s="4">
        <v>30</v>
      </c>
      <c r="F7" s="3">
        <v>255255255252</v>
      </c>
      <c r="G7" s="4" t="s">
        <v>225</v>
      </c>
      <c r="H7" s="4" t="s">
        <v>226</v>
      </c>
      <c r="I7" s="4" t="s">
        <v>227</v>
      </c>
      <c r="J7" s="6"/>
      <c r="O7" s="30" t="s">
        <v>228</v>
      </c>
    </row>
    <row r="8" spans="1:15" ht="18.600000000000001" thickBot="1">
      <c r="A8" s="11"/>
      <c r="B8" s="12"/>
      <c r="C8" s="13"/>
      <c r="D8" s="4"/>
      <c r="E8" s="4"/>
      <c r="F8" s="3"/>
      <c r="G8" s="4"/>
      <c r="H8" s="4"/>
      <c r="I8" s="4"/>
      <c r="J8" s="6"/>
      <c r="O8" s="30"/>
    </row>
    <row r="9" spans="1:15" ht="18.600000000000001" thickBot="1">
      <c r="A9" s="11"/>
      <c r="B9" s="16"/>
      <c r="C9" s="16"/>
      <c r="D9" s="4"/>
      <c r="E9" s="4"/>
      <c r="F9" s="3"/>
      <c r="G9" s="4"/>
      <c r="H9" s="4"/>
      <c r="I9" s="4"/>
      <c r="J9" s="6"/>
    </row>
    <row r="10" spans="1:15" ht="18.600000000000001" thickBot="1">
      <c r="A10" s="1"/>
      <c r="B10" s="7"/>
      <c r="C10" s="7"/>
      <c r="D10" s="4"/>
      <c r="E10" s="7"/>
      <c r="F10" s="3"/>
      <c r="G10" s="7"/>
      <c r="H10" s="7"/>
      <c r="I10" s="7"/>
      <c r="J10" s="6"/>
      <c r="L10" t="s">
        <v>190</v>
      </c>
    </row>
    <row r="11" spans="1:15" ht="18.600000000000001" thickBot="1">
      <c r="A11" s="1"/>
      <c r="B11" s="6"/>
      <c r="C11" s="6"/>
      <c r="D11" s="4"/>
      <c r="E11" s="6"/>
      <c r="F11" s="5"/>
      <c r="G11" s="7"/>
      <c r="H11" s="7"/>
      <c r="I11" s="7"/>
      <c r="J11" s="6"/>
      <c r="M11" s="32">
        <v>2</v>
      </c>
    </row>
    <row r="12" spans="1:15" ht="18.600000000000001" thickBot="1">
      <c r="A12" s="1"/>
      <c r="B12" s="6"/>
      <c r="C12" s="6"/>
      <c r="D12" s="4"/>
      <c r="E12" s="6"/>
      <c r="F12" s="5"/>
      <c r="G12" s="7"/>
      <c r="H12" s="7"/>
      <c r="I12" s="7"/>
      <c r="J12" s="6"/>
      <c r="L12" s="30">
        <v>2</v>
      </c>
    </row>
    <row r="13" spans="1:15" ht="18.600000000000001" thickBot="1">
      <c r="A13" s="1"/>
      <c r="B13" s="6"/>
      <c r="C13" s="6"/>
      <c r="D13" s="4"/>
      <c r="E13" s="6"/>
      <c r="F13" s="5"/>
      <c r="G13" s="7"/>
      <c r="H13" s="7"/>
      <c r="I13" s="7"/>
      <c r="J13" s="6"/>
    </row>
    <row r="14" spans="1:15" ht="18.600000000000001" thickBot="1">
      <c r="A14" s="1"/>
      <c r="B14" s="6"/>
      <c r="C14" s="6"/>
      <c r="D14" s="4"/>
      <c r="E14" s="6"/>
      <c r="F14" s="5"/>
      <c r="G14" s="7"/>
      <c r="H14" s="7"/>
      <c r="I14" s="7"/>
      <c r="J14" s="6"/>
    </row>
    <row r="16" spans="1:15" ht="21">
      <c r="A16" s="9">
        <v>128</v>
      </c>
      <c r="B16" s="9">
        <v>64</v>
      </c>
      <c r="C16" s="9">
        <v>32</v>
      </c>
      <c r="D16" s="9">
        <v>16</v>
      </c>
      <c r="E16" s="9">
        <v>8</v>
      </c>
      <c r="F16" s="9">
        <v>4</v>
      </c>
      <c r="G16" s="9">
        <v>2</v>
      </c>
      <c r="H16" s="9">
        <v>1</v>
      </c>
    </row>
    <row r="17" spans="1:8">
      <c r="A17" s="8">
        <v>1</v>
      </c>
      <c r="B17" s="8">
        <v>1</v>
      </c>
      <c r="C17" s="8">
        <v>1</v>
      </c>
      <c r="D17" s="8">
        <v>1</v>
      </c>
      <c r="E17" s="8">
        <v>0</v>
      </c>
      <c r="F17" s="8">
        <v>0</v>
      </c>
      <c r="G17" s="8">
        <v>0</v>
      </c>
      <c r="H17" s="8">
        <v>0</v>
      </c>
    </row>
    <row r="19" spans="1:8" ht="18">
      <c r="B19" s="10">
        <v>256</v>
      </c>
      <c r="C19" s="10" t="s">
        <v>36</v>
      </c>
    </row>
    <row r="20" spans="1:8" ht="18">
      <c r="B20" s="10">
        <v>240</v>
      </c>
      <c r="C20" s="10"/>
    </row>
    <row r="21" spans="1:8" ht="18">
      <c r="B21" s="31">
        <f>B19-B20</f>
        <v>16</v>
      </c>
      <c r="C21" s="31" t="s">
        <v>37</v>
      </c>
    </row>
  </sheetData>
  <mergeCells count="11">
    <mergeCell ref="G2:G3"/>
    <mergeCell ref="H2:H3"/>
    <mergeCell ref="I2:I3"/>
    <mergeCell ref="J2:J3"/>
    <mergeCell ref="L2:M2"/>
    <mergeCell ref="F2:F3"/>
    <mergeCell ref="A2:A3"/>
    <mergeCell ref="B2:B3"/>
    <mergeCell ref="C2:C3"/>
    <mergeCell ref="D2:D3"/>
    <mergeCell ref="E2:E3"/>
  </mergeCells>
  <pageMargins left="0.7" right="0.06" top="0.28999999999999998" bottom="0.24" header="0.19" footer="0.15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F08A0-9CAF-4365-BEAD-4BF3FC3A02FB}">
  <dimension ref="A1:O20"/>
  <sheetViews>
    <sheetView zoomScale="90" zoomScaleNormal="90" workbookViewId="0">
      <selection activeCell="L19" sqref="L19"/>
    </sheetView>
  </sheetViews>
  <sheetFormatPr defaultColWidth="11.42578125" defaultRowHeight="14.45"/>
  <cols>
    <col min="1" max="1" width="10.5703125" customWidth="1"/>
    <col min="2" max="2" width="12.5703125" customWidth="1"/>
    <col min="3" max="3" width="14.42578125" customWidth="1"/>
    <col min="4" max="4" width="14.7109375" customWidth="1"/>
    <col min="5" max="5" width="8" customWidth="1"/>
    <col min="6" max="8" width="16.5703125" customWidth="1"/>
    <col min="9" max="9" width="15.28515625" customWidth="1"/>
    <col min="10" max="10" width="13.5703125" customWidth="1"/>
    <col min="11" max="11" width="2.5703125" customWidth="1"/>
    <col min="13" max="13" width="8.5703125" customWidth="1"/>
    <col min="15" max="15" width="13.7109375" customWidth="1"/>
  </cols>
  <sheetData>
    <row r="1" spans="1:15" ht="15" thickBot="1"/>
    <row r="2" spans="1:15" ht="15.6" customHeight="1" thickBot="1">
      <c r="A2" s="49" t="s">
        <v>0</v>
      </c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  <c r="H2" s="48" t="s">
        <v>7</v>
      </c>
      <c r="I2" s="48" t="s">
        <v>8</v>
      </c>
      <c r="J2" s="49" t="s">
        <v>191</v>
      </c>
      <c r="L2" s="57" t="s">
        <v>195</v>
      </c>
      <c r="M2" s="57"/>
    </row>
    <row r="3" spans="1:15" ht="15" thickBot="1">
      <c r="A3" s="49"/>
      <c r="B3" s="48"/>
      <c r="C3" s="48"/>
      <c r="D3" s="48"/>
      <c r="E3" s="48"/>
      <c r="F3" s="48"/>
      <c r="G3" s="48"/>
      <c r="H3" s="48"/>
      <c r="I3" s="48"/>
      <c r="J3" s="49"/>
      <c r="M3" s="21" t="s">
        <v>192</v>
      </c>
    </row>
    <row r="4" spans="1:15" ht="23.1" customHeight="1" thickBot="1">
      <c r="A4" s="1"/>
      <c r="B4" s="2">
        <v>50</v>
      </c>
      <c r="C4" s="3">
        <v>62</v>
      </c>
      <c r="D4" s="4" t="s">
        <v>229</v>
      </c>
      <c r="E4" s="4">
        <v>26</v>
      </c>
      <c r="F4" s="3">
        <v>255255255192</v>
      </c>
      <c r="G4" s="4" t="s">
        <v>230</v>
      </c>
      <c r="H4" s="4" t="s">
        <v>231</v>
      </c>
      <c r="I4" s="4" t="s">
        <v>232</v>
      </c>
      <c r="J4" s="6">
        <v>6</v>
      </c>
      <c r="L4" s="30">
        <v>2</v>
      </c>
      <c r="M4" s="21" t="s">
        <v>163</v>
      </c>
      <c r="O4" t="s">
        <v>164</v>
      </c>
    </row>
    <row r="5" spans="1:15" ht="23.1" customHeight="1" thickBot="1">
      <c r="A5" s="1"/>
      <c r="B5" s="2">
        <v>18</v>
      </c>
      <c r="C5" s="3">
        <v>30</v>
      </c>
      <c r="D5" s="4" t="s">
        <v>233</v>
      </c>
      <c r="E5" s="4">
        <v>27</v>
      </c>
      <c r="F5" s="3">
        <v>255255255224</v>
      </c>
      <c r="G5" s="4" t="s">
        <v>234</v>
      </c>
      <c r="H5" s="3" t="s">
        <v>235</v>
      </c>
      <c r="I5" s="3" t="s">
        <v>236</v>
      </c>
      <c r="J5" s="6">
        <v>5</v>
      </c>
      <c r="O5" s="30">
        <v>50</v>
      </c>
    </row>
    <row r="6" spans="1:15" ht="23.1" customHeight="1" thickBot="1">
      <c r="A6" s="1" t="s">
        <v>173</v>
      </c>
      <c r="B6" s="2">
        <v>2</v>
      </c>
      <c r="C6" s="3">
        <v>2</v>
      </c>
      <c r="D6" s="4" t="s">
        <v>237</v>
      </c>
      <c r="E6" s="4">
        <v>30</v>
      </c>
      <c r="F6" s="3">
        <v>255255255252</v>
      </c>
      <c r="G6" s="4" t="s">
        <v>238</v>
      </c>
      <c r="H6" s="4" t="s">
        <v>239</v>
      </c>
      <c r="I6" s="4" t="s">
        <v>240</v>
      </c>
      <c r="J6" s="6"/>
      <c r="O6" s="30">
        <v>18</v>
      </c>
    </row>
    <row r="7" spans="1:15" ht="23.1" customHeight="1" thickBot="1">
      <c r="A7" s="1" t="s">
        <v>178</v>
      </c>
      <c r="B7" s="12">
        <v>2</v>
      </c>
      <c r="C7" s="13">
        <v>2</v>
      </c>
      <c r="D7" s="4" t="s">
        <v>241</v>
      </c>
      <c r="E7" s="4">
        <v>30</v>
      </c>
      <c r="F7" s="3">
        <v>255255255252</v>
      </c>
      <c r="G7" s="4" t="s">
        <v>242</v>
      </c>
      <c r="H7" s="4" t="s">
        <v>243</v>
      </c>
      <c r="I7" s="4" t="s">
        <v>244</v>
      </c>
      <c r="J7" s="6"/>
      <c r="O7" s="30" t="s">
        <v>245</v>
      </c>
    </row>
    <row r="8" spans="1:15" ht="18.600000000000001" thickBot="1">
      <c r="A8" s="1"/>
      <c r="B8" s="12"/>
      <c r="C8" s="13"/>
      <c r="D8" s="4"/>
      <c r="E8" s="4"/>
      <c r="F8" s="3"/>
      <c r="G8" s="4"/>
      <c r="H8" s="4"/>
      <c r="I8" s="4"/>
      <c r="J8" s="6"/>
      <c r="O8" s="30"/>
    </row>
    <row r="9" spans="1:15" ht="18.600000000000001" thickBot="1">
      <c r="A9" s="1"/>
      <c r="B9" s="16"/>
      <c r="C9" s="16"/>
      <c r="D9" s="4"/>
      <c r="E9" s="4"/>
      <c r="F9" s="3"/>
      <c r="G9" s="4"/>
      <c r="H9" s="4"/>
      <c r="I9" s="4"/>
      <c r="J9" s="6"/>
    </row>
    <row r="10" spans="1:15" ht="18.600000000000001" thickBot="1">
      <c r="A10" s="1"/>
      <c r="B10" s="7"/>
      <c r="C10" s="7"/>
      <c r="D10" s="4"/>
      <c r="E10" s="7"/>
      <c r="F10" s="3"/>
      <c r="G10" s="7"/>
      <c r="H10" s="7"/>
      <c r="I10" s="7"/>
      <c r="J10" s="6"/>
      <c r="L10" t="s">
        <v>190</v>
      </c>
    </row>
    <row r="11" spans="1:15" ht="18.600000000000001" thickBot="1">
      <c r="A11" s="1"/>
      <c r="B11" s="6"/>
      <c r="C11" s="6"/>
      <c r="D11" s="4"/>
      <c r="E11" s="6"/>
      <c r="F11" s="5"/>
      <c r="G11" s="7"/>
      <c r="H11" s="7"/>
      <c r="I11" s="7"/>
      <c r="J11" s="6"/>
      <c r="M11" s="32">
        <v>2</v>
      </c>
    </row>
    <row r="12" spans="1:15" ht="18.600000000000001" thickBot="1">
      <c r="A12" s="1"/>
      <c r="B12" s="6"/>
      <c r="C12" s="6"/>
      <c r="D12" s="4"/>
      <c r="E12" s="6"/>
      <c r="F12" s="5"/>
      <c r="G12" s="7"/>
      <c r="H12" s="7"/>
      <c r="I12" s="7"/>
      <c r="J12" s="6"/>
      <c r="L12" s="30">
        <v>2</v>
      </c>
    </row>
    <row r="13" spans="1:15" ht="18.600000000000001" thickBot="1">
      <c r="A13" s="1"/>
      <c r="B13" s="6"/>
      <c r="C13" s="6"/>
      <c r="D13" s="4"/>
      <c r="E13" s="6"/>
      <c r="F13" s="5"/>
      <c r="G13" s="7"/>
      <c r="H13" s="7"/>
      <c r="I13" s="7"/>
      <c r="J13" s="6"/>
    </row>
    <row r="14" spans="1:15" ht="18.600000000000001" thickBot="1">
      <c r="A14" s="17"/>
      <c r="D14" s="4"/>
    </row>
    <row r="15" spans="1:15" ht="21">
      <c r="A15" s="9">
        <v>128</v>
      </c>
      <c r="B15" s="9">
        <v>64</v>
      </c>
      <c r="C15" s="9">
        <v>32</v>
      </c>
      <c r="D15" s="9">
        <v>16</v>
      </c>
      <c r="E15" s="9">
        <v>8</v>
      </c>
      <c r="F15" s="9">
        <v>4</v>
      </c>
      <c r="G15" s="9">
        <v>2</v>
      </c>
      <c r="H15" s="9">
        <v>1</v>
      </c>
    </row>
    <row r="16" spans="1:15">
      <c r="A16" s="8">
        <v>1</v>
      </c>
      <c r="B16" s="8">
        <v>1</v>
      </c>
      <c r="C16" s="8">
        <v>1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</row>
    <row r="18" spans="2:3" ht="18">
      <c r="B18" s="10">
        <v>256</v>
      </c>
      <c r="C18" s="10" t="s">
        <v>36</v>
      </c>
    </row>
    <row r="19" spans="2:3" ht="18">
      <c r="B19" s="10">
        <v>224</v>
      </c>
      <c r="C19" s="10"/>
    </row>
    <row r="20" spans="2:3" ht="18">
      <c r="B20" s="31">
        <f>B18-B19</f>
        <v>32</v>
      </c>
      <c r="C20" s="31" t="s">
        <v>37</v>
      </c>
    </row>
  </sheetData>
  <mergeCells count="11">
    <mergeCell ref="G2:G3"/>
    <mergeCell ref="H2:H3"/>
    <mergeCell ref="I2:I3"/>
    <mergeCell ref="J2:J3"/>
    <mergeCell ref="L2:M2"/>
    <mergeCell ref="F2:F3"/>
    <mergeCell ref="A2:A3"/>
    <mergeCell ref="B2:B3"/>
    <mergeCell ref="C2:C3"/>
    <mergeCell ref="D2:D3"/>
    <mergeCell ref="E2:E3"/>
  </mergeCells>
  <phoneticPr fontId="10" type="noConversion"/>
  <pageMargins left="0.7" right="0.06" top="0.28999999999999998" bottom="0.24" header="0.19" footer="0.15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BA72-845F-414F-AEF4-883044A74733}">
  <dimension ref="A1:O20"/>
  <sheetViews>
    <sheetView zoomScale="90" zoomScaleNormal="90" workbookViewId="0">
      <selection activeCell="I10" sqref="I10"/>
    </sheetView>
  </sheetViews>
  <sheetFormatPr defaultColWidth="11.42578125" defaultRowHeight="14.45"/>
  <cols>
    <col min="1" max="1" width="10.5703125" customWidth="1"/>
    <col min="2" max="2" width="12.5703125" customWidth="1"/>
    <col min="3" max="3" width="14.42578125" customWidth="1"/>
    <col min="4" max="4" width="14.7109375" customWidth="1"/>
    <col min="5" max="5" width="8" customWidth="1"/>
    <col min="6" max="8" width="16.5703125" customWidth="1"/>
    <col min="9" max="9" width="15.28515625" customWidth="1"/>
    <col min="10" max="10" width="13.5703125" customWidth="1"/>
    <col min="11" max="11" width="2.5703125" customWidth="1"/>
    <col min="13" max="13" width="11" customWidth="1"/>
    <col min="15" max="15" width="13.7109375" customWidth="1"/>
  </cols>
  <sheetData>
    <row r="1" spans="1:15" ht="15" thickBot="1"/>
    <row r="2" spans="1:15" ht="15.6" customHeight="1" thickBot="1">
      <c r="A2" s="49" t="s">
        <v>0</v>
      </c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  <c r="H2" s="48" t="s">
        <v>7</v>
      </c>
      <c r="I2" s="48" t="s">
        <v>8</v>
      </c>
      <c r="J2" s="49" t="s">
        <v>191</v>
      </c>
      <c r="L2" s="57" t="s">
        <v>195</v>
      </c>
      <c r="M2" s="57"/>
    </row>
    <row r="3" spans="1:15" ht="15" thickBot="1">
      <c r="A3" s="49"/>
      <c r="B3" s="48"/>
      <c r="C3" s="48"/>
      <c r="D3" s="48"/>
      <c r="E3" s="48"/>
      <c r="F3" s="48"/>
      <c r="G3" s="48"/>
      <c r="H3" s="48"/>
      <c r="I3" s="48"/>
      <c r="J3" s="49"/>
      <c r="M3" s="21" t="s">
        <v>192</v>
      </c>
    </row>
    <row r="4" spans="1:15" ht="23.1" customHeight="1" thickBot="1">
      <c r="A4" s="1"/>
      <c r="B4" s="2">
        <v>1000</v>
      </c>
      <c r="C4" s="3">
        <v>1022</v>
      </c>
      <c r="D4" s="4" t="s">
        <v>246</v>
      </c>
      <c r="E4" s="4">
        <v>22</v>
      </c>
      <c r="F4" s="3" t="s">
        <v>247</v>
      </c>
      <c r="G4" s="4" t="s">
        <v>248</v>
      </c>
      <c r="H4" s="4" t="s">
        <v>249</v>
      </c>
      <c r="I4" s="4" t="s">
        <v>250</v>
      </c>
      <c r="J4" s="6">
        <v>10</v>
      </c>
      <c r="L4" s="30">
        <v>2</v>
      </c>
      <c r="M4" s="21" t="s">
        <v>163</v>
      </c>
      <c r="O4" t="s">
        <v>164</v>
      </c>
    </row>
    <row r="5" spans="1:15" ht="23.1" customHeight="1" thickBot="1">
      <c r="A5" s="1"/>
      <c r="B5" s="2">
        <v>300</v>
      </c>
      <c r="C5" s="3">
        <v>510</v>
      </c>
      <c r="D5" s="4" t="s">
        <v>251</v>
      </c>
      <c r="E5" s="4">
        <v>23</v>
      </c>
      <c r="F5" s="3" t="s">
        <v>252</v>
      </c>
      <c r="G5" s="4" t="s">
        <v>253</v>
      </c>
      <c r="H5" s="3" t="s">
        <v>254</v>
      </c>
      <c r="I5" s="3" t="s">
        <v>255</v>
      </c>
      <c r="J5" s="6">
        <v>9</v>
      </c>
      <c r="O5" s="30">
        <v>50</v>
      </c>
    </row>
    <row r="6" spans="1:15" ht="23.1" customHeight="1" thickBot="1">
      <c r="A6" s="1" t="s">
        <v>256</v>
      </c>
      <c r="B6" s="2">
        <v>2</v>
      </c>
      <c r="C6" s="3">
        <v>2</v>
      </c>
      <c r="D6" s="4" t="s">
        <v>257</v>
      </c>
      <c r="E6" s="4"/>
      <c r="F6" s="3">
        <v>255255255252</v>
      </c>
      <c r="G6" s="4" t="s">
        <v>258</v>
      </c>
      <c r="H6" s="4" t="s">
        <v>259</v>
      </c>
      <c r="I6" s="4" t="s">
        <v>260</v>
      </c>
      <c r="J6" s="6"/>
      <c r="O6" s="30">
        <v>18</v>
      </c>
    </row>
    <row r="7" spans="1:15" ht="23.1" customHeight="1" thickBot="1">
      <c r="A7" s="1" t="s">
        <v>261</v>
      </c>
      <c r="B7" s="12">
        <v>2</v>
      </c>
      <c r="C7" s="13">
        <v>2</v>
      </c>
      <c r="D7" s="4" t="s">
        <v>262</v>
      </c>
      <c r="E7" s="4"/>
      <c r="F7" s="3">
        <v>255255255252</v>
      </c>
      <c r="G7" s="4" t="s">
        <v>263</v>
      </c>
      <c r="H7" s="4" t="s">
        <v>264</v>
      </c>
      <c r="I7" s="4" t="s">
        <v>265</v>
      </c>
      <c r="J7" s="6"/>
      <c r="O7" s="30" t="s">
        <v>245</v>
      </c>
    </row>
    <row r="8" spans="1:15" ht="18.600000000000001" thickBot="1">
      <c r="A8" s="1"/>
      <c r="B8" s="12"/>
      <c r="C8" s="13"/>
      <c r="D8" s="4"/>
      <c r="E8" s="4"/>
      <c r="F8" s="3"/>
      <c r="G8" s="4"/>
      <c r="H8" s="4"/>
      <c r="I8" s="4"/>
      <c r="J8" s="6"/>
      <c r="O8" s="30"/>
    </row>
    <row r="9" spans="1:15" ht="18.600000000000001" thickBot="1">
      <c r="A9" s="1"/>
      <c r="B9" s="16"/>
      <c r="C9" s="16"/>
      <c r="D9" s="4"/>
      <c r="E9" s="4"/>
      <c r="F9" s="3"/>
      <c r="G9" s="4"/>
      <c r="H9" s="4"/>
      <c r="I9" s="4"/>
      <c r="J9" s="6"/>
    </row>
    <row r="10" spans="1:15" ht="18.600000000000001" thickBot="1">
      <c r="A10" s="1"/>
      <c r="B10" s="7"/>
      <c r="C10" s="7"/>
      <c r="D10" s="4"/>
      <c r="E10" s="7"/>
      <c r="F10" s="3"/>
      <c r="G10" s="7"/>
      <c r="H10" s="7"/>
      <c r="I10" s="7"/>
      <c r="J10" s="6"/>
      <c r="L10" t="s">
        <v>190</v>
      </c>
    </row>
    <row r="11" spans="1:15" ht="18.600000000000001" thickBot="1">
      <c r="A11" s="1"/>
      <c r="B11" s="6"/>
      <c r="C11" s="6"/>
      <c r="D11" s="4"/>
      <c r="E11" s="6"/>
      <c r="F11" s="5"/>
      <c r="G11" s="7"/>
      <c r="H11" s="7"/>
      <c r="I11" s="7"/>
      <c r="J11" s="6"/>
      <c r="M11" s="32">
        <v>2</v>
      </c>
    </row>
    <row r="12" spans="1:15" ht="18.600000000000001" thickBot="1">
      <c r="A12" s="1"/>
      <c r="B12" s="6"/>
      <c r="C12" s="6"/>
      <c r="D12" s="4"/>
      <c r="E12" s="6"/>
      <c r="F12" s="5"/>
      <c r="G12" s="7"/>
      <c r="H12" s="7"/>
      <c r="I12" s="7"/>
      <c r="J12" s="6"/>
      <c r="L12" s="30">
        <v>2</v>
      </c>
    </row>
    <row r="13" spans="1:15" ht="18.600000000000001" thickBot="1">
      <c r="A13" s="1"/>
      <c r="B13" s="6"/>
      <c r="C13" s="6"/>
      <c r="D13" s="4"/>
      <c r="E13" s="6"/>
      <c r="F13" s="5"/>
      <c r="G13" s="7"/>
      <c r="H13" s="7"/>
      <c r="I13" s="7"/>
      <c r="J13" s="6"/>
    </row>
    <row r="14" spans="1:15" ht="18.600000000000001" thickBot="1">
      <c r="A14" s="17"/>
      <c r="D14" s="4"/>
    </row>
    <row r="15" spans="1:15" ht="21">
      <c r="A15" s="9">
        <v>128</v>
      </c>
      <c r="B15" s="9">
        <v>64</v>
      </c>
      <c r="C15" s="9">
        <v>32</v>
      </c>
      <c r="D15" s="9">
        <v>16</v>
      </c>
      <c r="E15" s="9">
        <v>8</v>
      </c>
      <c r="F15" s="9">
        <v>4</v>
      </c>
      <c r="G15" s="9">
        <v>2</v>
      </c>
      <c r="H15" s="9">
        <v>1</v>
      </c>
    </row>
    <row r="16" spans="1:15">
      <c r="A16" s="8">
        <v>1</v>
      </c>
      <c r="B16" s="8">
        <v>1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0</v>
      </c>
      <c r="L16" s="21">
        <v>172</v>
      </c>
      <c r="M16" s="21">
        <v>150</v>
      </c>
      <c r="N16" s="21">
        <v>0</v>
      </c>
      <c r="O16" s="21">
        <v>0</v>
      </c>
    </row>
    <row r="17" spans="2:15">
      <c r="L17" s="21" t="s">
        <v>266</v>
      </c>
      <c r="M17" s="21" t="s">
        <v>266</v>
      </c>
      <c r="N17" s="21" t="s">
        <v>267</v>
      </c>
      <c r="O17" s="21" t="s">
        <v>117</v>
      </c>
    </row>
    <row r="18" spans="2:15" ht="18">
      <c r="B18" s="10">
        <v>256</v>
      </c>
      <c r="C18" s="10" t="s">
        <v>36</v>
      </c>
      <c r="L18">
        <v>255</v>
      </c>
      <c r="M18">
        <v>255</v>
      </c>
      <c r="N18">
        <v>254</v>
      </c>
      <c r="O18">
        <v>0</v>
      </c>
    </row>
    <row r="19" spans="2:15" ht="18">
      <c r="B19" s="10">
        <v>254</v>
      </c>
      <c r="C19" s="10"/>
      <c r="F19" t="s">
        <v>268</v>
      </c>
    </row>
    <row r="20" spans="2:15" ht="18">
      <c r="B20" s="31">
        <f>B18-B19</f>
        <v>2</v>
      </c>
      <c r="C20" s="31" t="s">
        <v>37</v>
      </c>
    </row>
  </sheetData>
  <mergeCells count="11">
    <mergeCell ref="F2:F3"/>
    <mergeCell ref="A2:A3"/>
    <mergeCell ref="B2:B3"/>
    <mergeCell ref="C2:C3"/>
    <mergeCell ref="D2:D3"/>
    <mergeCell ref="E2:E3"/>
    <mergeCell ref="G2:G3"/>
    <mergeCell ref="H2:H3"/>
    <mergeCell ref="I2:I3"/>
    <mergeCell ref="J2:J3"/>
    <mergeCell ref="L2:M2"/>
  </mergeCells>
  <pageMargins left="0.7" right="0.06" top="0.28999999999999998" bottom="0.24" header="0.19" footer="0.15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E43D-EA5E-40E6-8F3E-57ADEE38ECF6}">
  <dimension ref="A1:O20"/>
  <sheetViews>
    <sheetView zoomScale="90" zoomScaleNormal="90" workbookViewId="0">
      <selection activeCell="H6" sqref="H6"/>
    </sheetView>
  </sheetViews>
  <sheetFormatPr defaultColWidth="11.42578125" defaultRowHeight="14.45"/>
  <cols>
    <col min="1" max="1" width="10.5703125" customWidth="1"/>
    <col min="2" max="2" width="12.5703125" customWidth="1"/>
    <col min="3" max="3" width="14.42578125" customWidth="1"/>
    <col min="4" max="4" width="14.7109375" customWidth="1"/>
    <col min="5" max="5" width="8" customWidth="1"/>
    <col min="6" max="8" width="16.5703125" customWidth="1"/>
    <col min="9" max="9" width="15.28515625" customWidth="1"/>
    <col min="10" max="10" width="13.5703125" customWidth="1"/>
    <col min="11" max="11" width="2.5703125" customWidth="1"/>
    <col min="13" max="13" width="11" customWidth="1"/>
    <col min="15" max="15" width="13.7109375" customWidth="1"/>
  </cols>
  <sheetData>
    <row r="1" spans="1:15" ht="15" thickBot="1"/>
    <row r="2" spans="1:15" ht="15.6" customHeight="1" thickBot="1">
      <c r="A2" s="49" t="s">
        <v>0</v>
      </c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  <c r="H2" s="48" t="s">
        <v>7</v>
      </c>
      <c r="I2" s="48" t="s">
        <v>8</v>
      </c>
      <c r="J2" s="49" t="s">
        <v>191</v>
      </c>
      <c r="L2" s="57" t="s">
        <v>195</v>
      </c>
      <c r="M2" s="57"/>
    </row>
    <row r="3" spans="1:15" ht="15" thickBot="1">
      <c r="A3" s="49"/>
      <c r="B3" s="48"/>
      <c r="C3" s="48"/>
      <c r="D3" s="48"/>
      <c r="E3" s="48"/>
      <c r="F3" s="48"/>
      <c r="G3" s="48"/>
      <c r="H3" s="48"/>
      <c r="I3" s="48"/>
      <c r="J3" s="49"/>
      <c r="M3" s="21" t="s">
        <v>192</v>
      </c>
    </row>
    <row r="4" spans="1:15" ht="23.1" customHeight="1" thickBot="1">
      <c r="A4" s="1"/>
      <c r="B4" s="2">
        <v>1000000</v>
      </c>
      <c r="C4" s="3">
        <v>1048574</v>
      </c>
      <c r="D4" s="4" t="s">
        <v>269</v>
      </c>
      <c r="E4" s="4">
        <v>12</v>
      </c>
      <c r="F4" s="3" t="s">
        <v>131</v>
      </c>
      <c r="G4" s="4" t="s">
        <v>270</v>
      </c>
      <c r="H4" s="4" t="s">
        <v>271</v>
      </c>
      <c r="I4" s="4" t="s">
        <v>272</v>
      </c>
      <c r="J4" s="6">
        <v>20</v>
      </c>
      <c r="L4" s="30">
        <v>2</v>
      </c>
      <c r="M4" s="21" t="s">
        <v>163</v>
      </c>
      <c r="O4" t="s">
        <v>164</v>
      </c>
    </row>
    <row r="5" spans="1:15" ht="23.1" customHeight="1" thickBot="1">
      <c r="A5" s="1"/>
      <c r="B5" s="2">
        <v>70000</v>
      </c>
      <c r="C5" s="3">
        <v>131070</v>
      </c>
      <c r="D5" s="4" t="s">
        <v>273</v>
      </c>
      <c r="E5" s="4">
        <v>15</v>
      </c>
      <c r="F5" s="3" t="s">
        <v>274</v>
      </c>
      <c r="G5" s="4" t="s">
        <v>275</v>
      </c>
      <c r="H5" s="3" t="s">
        <v>276</v>
      </c>
      <c r="I5" s="3" t="s">
        <v>277</v>
      </c>
      <c r="J5" s="6">
        <v>17</v>
      </c>
      <c r="O5" s="30">
        <v>50</v>
      </c>
    </row>
    <row r="6" spans="1:15" ht="23.1" customHeight="1" thickBot="1">
      <c r="A6" s="1" t="s">
        <v>21</v>
      </c>
      <c r="B6" s="2">
        <v>2</v>
      </c>
      <c r="C6" s="3">
        <v>2</v>
      </c>
      <c r="D6" s="4" t="s">
        <v>278</v>
      </c>
      <c r="E6" s="4">
        <v>30</v>
      </c>
      <c r="F6" s="3">
        <v>255255255252</v>
      </c>
      <c r="G6" s="4" t="s">
        <v>279</v>
      </c>
      <c r="H6" s="4" t="s">
        <v>280</v>
      </c>
      <c r="I6" s="4" t="s">
        <v>281</v>
      </c>
      <c r="J6" s="6"/>
      <c r="O6" s="30">
        <v>18</v>
      </c>
    </row>
    <row r="7" spans="1:15" ht="23.1" customHeight="1" thickBot="1">
      <c r="A7" s="1" t="s">
        <v>21</v>
      </c>
      <c r="B7" s="12">
        <v>2</v>
      </c>
      <c r="C7" s="13">
        <v>2</v>
      </c>
      <c r="D7" s="4" t="s">
        <v>282</v>
      </c>
      <c r="E7" s="4">
        <v>30</v>
      </c>
      <c r="F7" s="3">
        <v>255255255252</v>
      </c>
      <c r="G7" s="4" t="s">
        <v>283</v>
      </c>
      <c r="H7" s="4" t="s">
        <v>284</v>
      </c>
      <c r="I7" s="4" t="s">
        <v>285</v>
      </c>
      <c r="J7" s="6"/>
      <c r="O7" s="30" t="s">
        <v>245</v>
      </c>
    </row>
    <row r="8" spans="1:15" ht="18.600000000000001" thickBot="1">
      <c r="A8" s="1"/>
      <c r="B8" s="12"/>
      <c r="C8" s="13"/>
      <c r="D8" s="4"/>
      <c r="E8" s="4"/>
      <c r="F8" s="3"/>
      <c r="G8" s="4"/>
      <c r="H8" s="4"/>
      <c r="I8" s="4"/>
      <c r="J8" s="6"/>
      <c r="O8" s="30"/>
    </row>
    <row r="9" spans="1:15" ht="18.600000000000001" thickBot="1">
      <c r="A9" s="1"/>
      <c r="B9" s="16"/>
      <c r="C9" s="16"/>
      <c r="D9" s="4"/>
      <c r="E9" s="4"/>
      <c r="F9" s="3"/>
      <c r="G9" s="4"/>
      <c r="H9" s="4"/>
      <c r="I9" s="4"/>
      <c r="J9" s="6"/>
    </row>
    <row r="10" spans="1:15" ht="18.600000000000001" thickBot="1">
      <c r="A10" s="1"/>
      <c r="B10" s="7"/>
      <c r="C10" s="7"/>
      <c r="D10" s="4"/>
      <c r="E10" s="7"/>
      <c r="F10" s="3"/>
      <c r="G10" s="7"/>
      <c r="H10" s="7"/>
      <c r="I10" s="7"/>
      <c r="J10" s="6"/>
      <c r="L10" t="s">
        <v>190</v>
      </c>
    </row>
    <row r="11" spans="1:15" ht="18.600000000000001" thickBot="1">
      <c r="A11" s="1"/>
      <c r="B11" s="6"/>
      <c r="C11" s="6"/>
      <c r="D11" s="4"/>
      <c r="E11" s="6"/>
      <c r="F11" s="5"/>
      <c r="G11" s="7"/>
      <c r="H11" s="7"/>
      <c r="I11" s="7"/>
      <c r="J11" s="6"/>
      <c r="M11" s="32">
        <v>2</v>
      </c>
    </row>
    <row r="12" spans="1:15" ht="18.600000000000001" thickBot="1">
      <c r="A12" s="1"/>
      <c r="B12" s="6"/>
      <c r="C12" s="6"/>
      <c r="D12" s="4"/>
      <c r="E12" s="6"/>
      <c r="F12" s="5"/>
      <c r="G12" s="7"/>
      <c r="H12" s="7"/>
      <c r="I12" s="7"/>
      <c r="J12" s="6"/>
      <c r="L12" s="30">
        <v>2</v>
      </c>
    </row>
    <row r="13" spans="1:15" ht="18.600000000000001" thickBot="1">
      <c r="A13" s="1"/>
      <c r="B13" s="6"/>
      <c r="C13" s="6"/>
      <c r="D13" s="4"/>
      <c r="E13" s="6"/>
      <c r="F13" s="5"/>
      <c r="G13" s="7"/>
      <c r="H13" s="7"/>
      <c r="I13" s="7"/>
      <c r="J13" s="6"/>
    </row>
    <row r="14" spans="1:15" ht="18.600000000000001" thickBot="1">
      <c r="A14" s="17"/>
      <c r="D14" s="4"/>
    </row>
    <row r="15" spans="1:15" ht="21">
      <c r="A15" s="9">
        <v>128</v>
      </c>
      <c r="B15" s="9">
        <v>64</v>
      </c>
      <c r="C15" s="9">
        <v>32</v>
      </c>
      <c r="D15" s="9">
        <v>16</v>
      </c>
      <c r="E15" s="9">
        <v>8</v>
      </c>
      <c r="F15" s="9">
        <v>4</v>
      </c>
      <c r="G15" s="9">
        <v>2</v>
      </c>
      <c r="H15" s="9">
        <v>1</v>
      </c>
    </row>
    <row r="16" spans="1:15">
      <c r="A16" s="8">
        <v>1</v>
      </c>
      <c r="B16" s="8">
        <v>1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0</v>
      </c>
      <c r="L16" s="21" t="s">
        <v>286</v>
      </c>
      <c r="M16" s="21" t="s">
        <v>287</v>
      </c>
      <c r="N16" s="21" t="s">
        <v>287</v>
      </c>
      <c r="O16" s="21" t="s">
        <v>287</v>
      </c>
    </row>
    <row r="17" spans="2:15">
      <c r="L17" s="21" t="s">
        <v>266</v>
      </c>
      <c r="M17" s="21" t="s">
        <v>267</v>
      </c>
      <c r="N17" s="21" t="s">
        <v>117</v>
      </c>
      <c r="O17" s="21" t="s">
        <v>117</v>
      </c>
    </row>
    <row r="18" spans="2:15" ht="18">
      <c r="B18" s="10">
        <v>256</v>
      </c>
      <c r="C18" s="10" t="s">
        <v>36</v>
      </c>
      <c r="L18">
        <v>255</v>
      </c>
      <c r="M18">
        <v>254</v>
      </c>
      <c r="N18">
        <v>0</v>
      </c>
      <c r="O18">
        <v>0</v>
      </c>
    </row>
    <row r="19" spans="2:15" ht="18">
      <c r="B19" s="10">
        <v>254</v>
      </c>
      <c r="C19" s="10"/>
      <c r="F19" t="s">
        <v>268</v>
      </c>
    </row>
    <row r="20" spans="2:15" ht="18">
      <c r="B20" s="31">
        <f>B18-B19</f>
        <v>2</v>
      </c>
      <c r="C20" s="31" t="s">
        <v>37</v>
      </c>
    </row>
  </sheetData>
  <mergeCells count="11">
    <mergeCell ref="F2:F3"/>
    <mergeCell ref="A2:A3"/>
    <mergeCell ref="B2:B3"/>
    <mergeCell ref="C2:C3"/>
    <mergeCell ref="D2:D3"/>
    <mergeCell ref="E2:E3"/>
    <mergeCell ref="G2:G3"/>
    <mergeCell ref="H2:H3"/>
    <mergeCell ref="I2:I3"/>
    <mergeCell ref="J2:J3"/>
    <mergeCell ref="L2:M2"/>
  </mergeCells>
  <pageMargins left="0.7" right="0.06" top="0.28999999999999998" bottom="0.24" header="0.19" footer="0.15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>
      <selection activeCell="J22" sqref="J22"/>
    </sheetView>
  </sheetViews>
  <sheetFormatPr defaultColWidth="11.42578125" defaultRowHeight="14.45"/>
  <sheetData>
    <row r="1" spans="1:13">
      <c r="B1" t="s">
        <v>288</v>
      </c>
    </row>
    <row r="2" spans="1:13">
      <c r="B2" s="56" t="s">
        <v>289</v>
      </c>
      <c r="C2" s="56"/>
      <c r="D2" s="56"/>
      <c r="E2" s="56"/>
      <c r="F2" s="56"/>
      <c r="G2" s="56"/>
      <c r="H2" s="56"/>
    </row>
    <row r="3" spans="1:13">
      <c r="A3" t="s">
        <v>290</v>
      </c>
    </row>
    <row r="4" spans="1:13">
      <c r="A4" t="s">
        <v>291</v>
      </c>
      <c r="B4">
        <v>10</v>
      </c>
      <c r="E4" s="58" t="s">
        <v>292</v>
      </c>
      <c r="F4" s="58"/>
      <c r="G4" s="58"/>
      <c r="H4" s="58"/>
      <c r="I4" s="58"/>
      <c r="J4" s="58"/>
      <c r="K4" s="58"/>
      <c r="L4" s="47"/>
      <c r="M4" s="47"/>
    </row>
    <row r="5" spans="1:13">
      <c r="A5" t="s">
        <v>293</v>
      </c>
      <c r="B5">
        <v>11</v>
      </c>
      <c r="E5" s="58"/>
      <c r="F5" s="58"/>
      <c r="G5" s="58"/>
      <c r="H5" s="58"/>
      <c r="I5" s="58"/>
      <c r="J5" s="58"/>
      <c r="K5" s="58"/>
      <c r="L5" s="47"/>
      <c r="M5" s="47"/>
    </row>
    <row r="6" spans="1:13" ht="21">
      <c r="A6" t="s">
        <v>294</v>
      </c>
      <c r="B6">
        <v>12</v>
      </c>
      <c r="E6" s="59" t="s">
        <v>295</v>
      </c>
      <c r="F6" s="59"/>
      <c r="G6" s="59"/>
      <c r="H6" s="59"/>
      <c r="I6" s="59"/>
      <c r="J6" s="59"/>
      <c r="K6" s="59"/>
      <c r="L6" s="59"/>
      <c r="M6" s="59"/>
    </row>
    <row r="7" spans="1:13">
      <c r="A7" t="s">
        <v>296</v>
      </c>
      <c r="B7">
        <v>13</v>
      </c>
    </row>
    <row r="8" spans="1:13" ht="23.45">
      <c r="A8" t="s">
        <v>297</v>
      </c>
      <c r="B8">
        <v>15</v>
      </c>
      <c r="E8" s="60" t="s">
        <v>298</v>
      </c>
      <c r="F8" s="60"/>
      <c r="G8" s="60"/>
      <c r="H8" s="60"/>
      <c r="I8" s="60"/>
      <c r="J8" s="60"/>
      <c r="K8" s="60"/>
      <c r="L8" s="60"/>
      <c r="M8" s="60"/>
    </row>
    <row r="9" spans="1:13" ht="25.9">
      <c r="A9" t="s">
        <v>299</v>
      </c>
      <c r="E9" s="61" t="s">
        <v>300</v>
      </c>
      <c r="F9" s="61"/>
      <c r="G9" s="61"/>
      <c r="H9" s="61"/>
      <c r="I9" s="61"/>
      <c r="J9" s="61"/>
      <c r="K9" s="61"/>
      <c r="L9" s="61"/>
      <c r="M9" s="61"/>
    </row>
  </sheetData>
  <mergeCells count="5">
    <mergeCell ref="B2:H2"/>
    <mergeCell ref="E4:K5"/>
    <mergeCell ref="E6:M6"/>
    <mergeCell ref="E8:M8"/>
    <mergeCell ref="E9:M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C35D-49C0-4409-9FAF-FAE90BA5E8F9}">
  <dimension ref="A1:O21"/>
  <sheetViews>
    <sheetView zoomScale="90" zoomScaleNormal="90" workbookViewId="0">
      <selection activeCell="H6" sqref="H6"/>
    </sheetView>
  </sheetViews>
  <sheetFormatPr defaultColWidth="11.42578125" defaultRowHeight="14.45"/>
  <cols>
    <col min="1" max="1" width="10.5703125" customWidth="1"/>
    <col min="2" max="2" width="12.5703125" customWidth="1"/>
    <col min="3" max="3" width="14.42578125" customWidth="1"/>
    <col min="4" max="4" width="14.7109375" customWidth="1"/>
    <col min="5" max="5" width="8" customWidth="1"/>
    <col min="6" max="8" width="16.5703125" customWidth="1"/>
    <col min="9" max="9" width="15.28515625" customWidth="1"/>
    <col min="10" max="10" width="13.5703125" customWidth="1"/>
    <col min="11" max="11" width="2.5703125" customWidth="1"/>
    <col min="13" max="13" width="8.5703125" customWidth="1"/>
    <col min="15" max="15" width="13.7109375" customWidth="1"/>
  </cols>
  <sheetData>
    <row r="1" spans="1:15" ht="15" thickBot="1"/>
    <row r="2" spans="1:15" ht="15.6" customHeight="1" thickBot="1">
      <c r="A2" s="49" t="s">
        <v>0</v>
      </c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  <c r="H2" s="48" t="s">
        <v>7</v>
      </c>
      <c r="I2" s="48" t="s">
        <v>8</v>
      </c>
      <c r="J2" s="49" t="s">
        <v>159</v>
      </c>
    </row>
    <row r="3" spans="1:15" ht="15" thickBot="1">
      <c r="A3" s="49"/>
      <c r="B3" s="48"/>
      <c r="C3" s="48"/>
      <c r="D3" s="48"/>
      <c r="E3" s="48"/>
      <c r="F3" s="48"/>
      <c r="G3" s="48"/>
      <c r="H3" s="48"/>
      <c r="I3" s="48"/>
      <c r="J3" s="49"/>
      <c r="M3" s="21" t="s">
        <v>160</v>
      </c>
    </row>
    <row r="4" spans="1:15" ht="23.1" customHeight="1" thickBot="1">
      <c r="A4" s="1">
        <v>1</v>
      </c>
      <c r="B4" s="2"/>
      <c r="C4" s="3"/>
      <c r="D4" s="4" t="s">
        <v>9</v>
      </c>
      <c r="E4" s="4">
        <v>27</v>
      </c>
      <c r="F4" s="3">
        <v>255255255224</v>
      </c>
      <c r="G4" s="33" t="s">
        <v>10</v>
      </c>
      <c r="H4" s="33" t="s">
        <v>161</v>
      </c>
      <c r="I4" s="4" t="s">
        <v>162</v>
      </c>
      <c r="J4" s="6"/>
      <c r="L4" s="30">
        <v>2</v>
      </c>
      <c r="M4" s="21" t="s">
        <v>163</v>
      </c>
      <c r="O4" t="s">
        <v>164</v>
      </c>
    </row>
    <row r="5" spans="1:15" ht="23.1" customHeight="1" thickBot="1">
      <c r="A5" s="1">
        <v>2</v>
      </c>
      <c r="B5" s="2"/>
      <c r="C5" s="3"/>
      <c r="D5" s="4" t="s">
        <v>165</v>
      </c>
      <c r="E5" s="4">
        <v>27</v>
      </c>
      <c r="F5" s="3">
        <v>255255255224</v>
      </c>
      <c r="G5" s="33" t="s">
        <v>166</v>
      </c>
      <c r="H5" s="34" t="s">
        <v>183</v>
      </c>
      <c r="I5" s="3" t="s">
        <v>184</v>
      </c>
      <c r="J5" s="6"/>
      <c r="O5">
        <v>7</v>
      </c>
    </row>
    <row r="6" spans="1:15" ht="23.1" customHeight="1" thickBot="1">
      <c r="A6" s="1">
        <v>3</v>
      </c>
      <c r="B6" s="2"/>
      <c r="C6" s="3"/>
      <c r="D6" s="4" t="s">
        <v>185</v>
      </c>
      <c r="E6" s="4">
        <v>27</v>
      </c>
      <c r="F6" s="3">
        <v>255255255224</v>
      </c>
      <c r="G6" s="33" t="s">
        <v>186</v>
      </c>
      <c r="H6" s="33" t="s">
        <v>301</v>
      </c>
      <c r="I6" s="4" t="s">
        <v>302</v>
      </c>
      <c r="J6" s="6"/>
    </row>
    <row r="7" spans="1:15" ht="23.1" customHeight="1" thickBot="1">
      <c r="A7" s="1">
        <v>4</v>
      </c>
      <c r="B7" s="12"/>
      <c r="C7" s="13"/>
      <c r="D7" s="4" t="s">
        <v>303</v>
      </c>
      <c r="E7" s="4">
        <v>27</v>
      </c>
      <c r="F7" s="3">
        <v>255255255224</v>
      </c>
      <c r="G7" s="33" t="s">
        <v>304</v>
      </c>
      <c r="H7" s="34" t="s">
        <v>11</v>
      </c>
      <c r="I7" s="3" t="s">
        <v>12</v>
      </c>
      <c r="J7" s="6"/>
    </row>
    <row r="8" spans="1:15" ht="18.600000000000001" thickBot="1">
      <c r="A8" s="1">
        <v>5</v>
      </c>
      <c r="B8" s="12"/>
      <c r="C8" s="13"/>
      <c r="D8" s="4" t="s">
        <v>13</v>
      </c>
      <c r="E8" s="4">
        <v>27</v>
      </c>
      <c r="F8" s="3">
        <v>255255255224</v>
      </c>
      <c r="G8" s="33" t="s">
        <v>14</v>
      </c>
      <c r="H8" s="33" t="s">
        <v>216</v>
      </c>
      <c r="I8" s="4" t="s">
        <v>217</v>
      </c>
      <c r="J8" s="6"/>
    </row>
    <row r="9" spans="1:15" ht="18.600000000000001" thickBot="1">
      <c r="A9" s="1">
        <v>6</v>
      </c>
      <c r="B9" s="16"/>
      <c r="C9" s="16"/>
      <c r="D9" s="4" t="s">
        <v>305</v>
      </c>
      <c r="E9" s="4">
        <v>27</v>
      </c>
      <c r="F9" s="3">
        <v>255255255224</v>
      </c>
      <c r="G9" s="33" t="s">
        <v>306</v>
      </c>
      <c r="H9" s="34" t="s">
        <v>15</v>
      </c>
      <c r="I9" s="3" t="s">
        <v>16</v>
      </c>
      <c r="J9" s="6"/>
    </row>
    <row r="10" spans="1:15" ht="18.600000000000001" thickBot="1">
      <c r="A10" s="1">
        <v>7</v>
      </c>
      <c r="B10" s="7"/>
      <c r="C10" s="7"/>
      <c r="D10" s="4" t="s">
        <v>17</v>
      </c>
      <c r="E10" s="4">
        <v>27</v>
      </c>
      <c r="F10" s="3">
        <v>255255255224</v>
      </c>
      <c r="G10" s="33" t="s">
        <v>18</v>
      </c>
      <c r="H10" s="33" t="s">
        <v>19</v>
      </c>
      <c r="I10" s="4" t="s">
        <v>20</v>
      </c>
      <c r="J10" s="6"/>
      <c r="L10" t="s">
        <v>190</v>
      </c>
    </row>
    <row r="11" spans="1:15" ht="18.600000000000001" thickBot="1">
      <c r="A11" s="1">
        <v>8</v>
      </c>
      <c r="B11" s="6"/>
      <c r="C11" s="6"/>
      <c r="D11" s="4" t="s">
        <v>22</v>
      </c>
      <c r="E11" s="4">
        <v>27</v>
      </c>
      <c r="F11" s="3">
        <v>255255255224</v>
      </c>
      <c r="G11" s="33" t="s">
        <v>23</v>
      </c>
      <c r="H11" s="34" t="s">
        <v>188</v>
      </c>
      <c r="I11" s="3" t="s">
        <v>189</v>
      </c>
      <c r="J11" s="6"/>
      <c r="M11" s="32">
        <v>3</v>
      </c>
    </row>
    <row r="12" spans="1:15" ht="18.600000000000001" thickBot="1">
      <c r="A12" s="1"/>
      <c r="B12" s="6"/>
      <c r="C12" s="6"/>
      <c r="D12" s="4"/>
      <c r="E12" s="6"/>
      <c r="F12" s="5"/>
      <c r="G12" s="7"/>
      <c r="H12" s="7"/>
      <c r="I12" s="7"/>
      <c r="J12" s="6"/>
      <c r="L12" s="30">
        <v>2</v>
      </c>
    </row>
    <row r="13" spans="1:15" ht="18.600000000000001" thickBot="1">
      <c r="A13" s="1"/>
      <c r="B13" s="6"/>
      <c r="C13" s="6"/>
      <c r="D13" s="4"/>
      <c r="E13" s="6"/>
      <c r="F13" s="5"/>
      <c r="G13" s="7"/>
      <c r="H13" s="7"/>
      <c r="I13" s="7"/>
      <c r="J13" s="6"/>
    </row>
    <row r="14" spans="1:15" ht="18.600000000000001" thickBot="1">
      <c r="A14" s="1"/>
      <c r="B14" s="6"/>
      <c r="C14" s="6"/>
      <c r="D14" s="4"/>
      <c r="E14" s="6"/>
      <c r="F14" s="5"/>
      <c r="G14" s="7"/>
      <c r="H14" s="7"/>
      <c r="I14" s="7"/>
      <c r="J14" s="6"/>
    </row>
    <row r="16" spans="1:15" ht="21">
      <c r="A16" s="9">
        <v>128</v>
      </c>
      <c r="B16" s="9">
        <v>64</v>
      </c>
      <c r="C16" s="9">
        <v>32</v>
      </c>
      <c r="D16" s="9">
        <v>16</v>
      </c>
      <c r="E16" s="9">
        <v>8</v>
      </c>
      <c r="F16" s="9">
        <v>4</v>
      </c>
      <c r="G16" s="9">
        <v>2</v>
      </c>
      <c r="H16" s="9">
        <v>1</v>
      </c>
    </row>
    <row r="17" spans="1:8">
      <c r="A17" s="8">
        <v>1</v>
      </c>
      <c r="B17" s="8">
        <v>1</v>
      </c>
      <c r="C17" s="8">
        <v>1</v>
      </c>
      <c r="D17" s="8"/>
      <c r="E17" s="8"/>
      <c r="F17" s="8"/>
      <c r="G17" s="8"/>
      <c r="H17" s="8"/>
    </row>
    <row r="19" spans="1:8" ht="18">
      <c r="B19" s="10">
        <v>256</v>
      </c>
      <c r="C19" s="10" t="s">
        <v>36</v>
      </c>
    </row>
    <row r="20" spans="1:8" ht="18">
      <c r="B20" s="10">
        <v>224</v>
      </c>
      <c r="C20" s="10"/>
    </row>
    <row r="21" spans="1:8" ht="18">
      <c r="B21" s="31">
        <f>B19-B20</f>
        <v>32</v>
      </c>
      <c r="C21" s="31" t="s">
        <v>37</v>
      </c>
    </row>
  </sheetData>
  <mergeCells count="10">
    <mergeCell ref="G2:G3"/>
    <mergeCell ref="H2:H3"/>
    <mergeCell ref="I2:I3"/>
    <mergeCell ref="J2:J3"/>
    <mergeCell ref="A2:A3"/>
    <mergeCell ref="B2:B3"/>
    <mergeCell ref="C2:C3"/>
    <mergeCell ref="D2:D3"/>
    <mergeCell ref="E2:E3"/>
    <mergeCell ref="F2:F3"/>
  </mergeCells>
  <phoneticPr fontId="10" type="noConversion"/>
  <pageMargins left="0.7" right="0.06" top="0.28999999999999998" bottom="0.24" header="0.19" footer="0.15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A76A-4FA5-4396-BCD7-D7C8C9378E87}">
  <dimension ref="A1:O28"/>
  <sheetViews>
    <sheetView zoomScale="90" zoomScaleNormal="90" workbookViewId="0">
      <selection activeCell="K17" sqref="K17"/>
    </sheetView>
  </sheetViews>
  <sheetFormatPr defaultColWidth="11.42578125" defaultRowHeight="14.45"/>
  <cols>
    <col min="1" max="1" width="10.5703125" customWidth="1"/>
    <col min="2" max="2" width="12.5703125" customWidth="1"/>
    <col min="3" max="3" width="14.42578125" customWidth="1"/>
    <col min="4" max="4" width="14.7109375" customWidth="1"/>
    <col min="5" max="5" width="8" customWidth="1"/>
    <col min="6" max="8" width="16.5703125" customWidth="1"/>
    <col min="9" max="9" width="15.28515625" customWidth="1"/>
    <col min="10" max="10" width="13.5703125" customWidth="1"/>
    <col min="11" max="11" width="2.5703125" customWidth="1"/>
    <col min="13" max="13" width="8.5703125" customWidth="1"/>
    <col min="15" max="15" width="13.7109375" customWidth="1"/>
  </cols>
  <sheetData>
    <row r="1" spans="1:15" ht="15" thickBot="1"/>
    <row r="2" spans="1:15" ht="15.6" customHeight="1" thickBot="1">
      <c r="A2" s="49" t="s">
        <v>0</v>
      </c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  <c r="H2" s="48" t="s">
        <v>7</v>
      </c>
      <c r="I2" s="48" t="s">
        <v>8</v>
      </c>
      <c r="J2" s="49" t="s">
        <v>159</v>
      </c>
    </row>
    <row r="3" spans="1:15" ht="15" thickBot="1">
      <c r="A3" s="49"/>
      <c r="B3" s="48"/>
      <c r="C3" s="48"/>
      <c r="D3" s="48"/>
      <c r="E3" s="48"/>
      <c r="F3" s="48"/>
      <c r="G3" s="48"/>
      <c r="H3" s="48"/>
      <c r="I3" s="48"/>
      <c r="J3" s="49"/>
      <c r="M3" s="21" t="s">
        <v>160</v>
      </c>
    </row>
    <row r="4" spans="1:15" ht="23.1" customHeight="1" thickBot="1">
      <c r="A4" s="1">
        <v>1</v>
      </c>
      <c r="B4" s="2"/>
      <c r="C4" s="3"/>
      <c r="D4" s="4" t="s">
        <v>9</v>
      </c>
      <c r="E4" s="4">
        <v>28</v>
      </c>
      <c r="F4" s="3">
        <v>255255255240</v>
      </c>
      <c r="G4" s="33" t="s">
        <v>10</v>
      </c>
      <c r="H4" s="33" t="s">
        <v>307</v>
      </c>
      <c r="I4" s="4" t="s">
        <v>308</v>
      </c>
      <c r="J4" s="6"/>
      <c r="L4" s="30">
        <v>2</v>
      </c>
      <c r="M4" s="21" t="s">
        <v>163</v>
      </c>
      <c r="O4" t="s">
        <v>164</v>
      </c>
    </row>
    <row r="5" spans="1:15" ht="23.1" customHeight="1" thickBot="1">
      <c r="A5" s="1">
        <v>2</v>
      </c>
      <c r="B5" s="2"/>
      <c r="C5" s="3"/>
      <c r="D5" s="4" t="s">
        <v>309</v>
      </c>
      <c r="E5" s="4"/>
      <c r="F5" s="3"/>
      <c r="G5" s="33" t="s">
        <v>310</v>
      </c>
      <c r="H5" s="34" t="s">
        <v>161</v>
      </c>
      <c r="I5" s="3" t="s">
        <v>162</v>
      </c>
      <c r="J5" s="6"/>
      <c r="O5">
        <v>12</v>
      </c>
    </row>
    <row r="6" spans="1:15" ht="23.1" customHeight="1" thickBot="1">
      <c r="A6" s="1">
        <v>3</v>
      </c>
      <c r="B6" s="2"/>
      <c r="C6" s="3"/>
      <c r="D6" s="4" t="s">
        <v>165</v>
      </c>
      <c r="E6" s="4"/>
      <c r="F6" s="3"/>
      <c r="G6" s="33" t="s">
        <v>166</v>
      </c>
      <c r="H6" s="33" t="s">
        <v>167</v>
      </c>
      <c r="I6" s="4" t="s">
        <v>168</v>
      </c>
      <c r="J6" s="6"/>
    </row>
    <row r="7" spans="1:15" ht="23.1" customHeight="1" thickBot="1">
      <c r="A7" s="1">
        <v>4</v>
      </c>
      <c r="B7" s="12"/>
      <c r="C7" s="13"/>
      <c r="D7" s="4" t="s">
        <v>169</v>
      </c>
      <c r="E7" s="4"/>
      <c r="F7" s="3"/>
      <c r="G7" s="33" t="s">
        <v>170</v>
      </c>
      <c r="H7" s="34" t="s">
        <v>183</v>
      </c>
      <c r="I7" s="3" t="s">
        <v>184</v>
      </c>
      <c r="J7" s="6"/>
    </row>
    <row r="8" spans="1:15" ht="18.600000000000001" thickBot="1">
      <c r="A8" s="1">
        <v>5</v>
      </c>
      <c r="B8" s="12"/>
      <c r="C8" s="13"/>
      <c r="D8" s="4" t="s">
        <v>185</v>
      </c>
      <c r="E8" s="4"/>
      <c r="F8" s="3"/>
      <c r="G8" s="33" t="s">
        <v>186</v>
      </c>
      <c r="H8" s="33" t="s">
        <v>218</v>
      </c>
      <c r="I8" s="4" t="s">
        <v>219</v>
      </c>
      <c r="J8" s="6"/>
    </row>
    <row r="9" spans="1:15" ht="18.600000000000001" thickBot="1">
      <c r="A9" s="1">
        <v>6</v>
      </c>
      <c r="B9" s="16"/>
      <c r="C9" s="16"/>
      <c r="D9" s="4" t="s">
        <v>220</v>
      </c>
      <c r="E9" s="4"/>
      <c r="F9" s="3"/>
      <c r="G9" s="33" t="s">
        <v>221</v>
      </c>
      <c r="H9" s="34" t="s">
        <v>301</v>
      </c>
      <c r="I9" s="3" t="s">
        <v>302</v>
      </c>
      <c r="J9" s="6"/>
    </row>
    <row r="10" spans="1:15" ht="18.600000000000001" thickBot="1">
      <c r="A10" s="1">
        <v>7</v>
      </c>
      <c r="B10" s="7"/>
      <c r="C10" s="7"/>
      <c r="D10" s="4" t="s">
        <v>303</v>
      </c>
      <c r="E10" s="4"/>
      <c r="F10" s="3"/>
      <c r="G10" s="33" t="s">
        <v>304</v>
      </c>
      <c r="H10" s="33" t="s">
        <v>311</v>
      </c>
      <c r="I10" s="4" t="s">
        <v>312</v>
      </c>
      <c r="J10" s="6"/>
      <c r="L10" t="s">
        <v>190</v>
      </c>
    </row>
    <row r="11" spans="1:15" ht="18.600000000000001" thickBot="1">
      <c r="A11" s="1">
        <v>8</v>
      </c>
      <c r="B11" s="6"/>
      <c r="C11" s="6"/>
      <c r="D11" s="4" t="s">
        <v>313</v>
      </c>
      <c r="E11" s="4"/>
      <c r="F11" s="3"/>
      <c r="G11" s="33" t="s">
        <v>314</v>
      </c>
      <c r="H11" s="34" t="s">
        <v>11</v>
      </c>
      <c r="I11" s="3" t="s">
        <v>12</v>
      </c>
      <c r="J11" s="6"/>
      <c r="M11" s="32">
        <v>4</v>
      </c>
    </row>
    <row r="12" spans="1:15" ht="18.600000000000001" thickBot="1">
      <c r="A12" s="1">
        <v>9</v>
      </c>
      <c r="B12" s="6"/>
      <c r="C12" s="6"/>
      <c r="D12" s="4" t="s">
        <v>13</v>
      </c>
      <c r="E12" s="4"/>
      <c r="F12" s="3"/>
      <c r="G12" s="33" t="s">
        <v>14</v>
      </c>
      <c r="H12" s="33" t="s">
        <v>315</v>
      </c>
      <c r="I12" s="4" t="s">
        <v>197</v>
      </c>
      <c r="J12" s="6"/>
      <c r="L12" s="30">
        <v>2</v>
      </c>
    </row>
    <row r="13" spans="1:15" ht="18.600000000000001" thickBot="1">
      <c r="A13" s="1">
        <v>10</v>
      </c>
      <c r="B13" s="6"/>
      <c r="C13" s="6"/>
      <c r="D13" s="4" t="s">
        <v>199</v>
      </c>
      <c r="E13" s="4"/>
      <c r="F13" s="3"/>
      <c r="G13" s="33" t="s">
        <v>200</v>
      </c>
      <c r="H13" s="34" t="s">
        <v>216</v>
      </c>
      <c r="I13" s="3" t="s">
        <v>217</v>
      </c>
      <c r="J13" s="6"/>
    </row>
    <row r="14" spans="1:15" ht="18.600000000000001" thickBot="1">
      <c r="A14" s="1">
        <v>11</v>
      </c>
      <c r="B14" s="38"/>
      <c r="C14" s="38"/>
      <c r="D14" s="4" t="s">
        <v>305</v>
      </c>
      <c r="E14" s="4"/>
      <c r="F14" s="3"/>
      <c r="G14" s="33" t="s">
        <v>306</v>
      </c>
      <c r="H14" s="33" t="s">
        <v>316</v>
      </c>
      <c r="I14" s="4" t="s">
        <v>317</v>
      </c>
      <c r="J14" s="38"/>
    </row>
    <row r="15" spans="1:15" ht="19.149999999999999" thickTop="1" thickBot="1">
      <c r="A15" s="37">
        <v>12</v>
      </c>
      <c r="B15" s="40"/>
      <c r="C15" s="40"/>
      <c r="D15" s="4" t="s">
        <v>318</v>
      </c>
      <c r="E15" s="4"/>
      <c r="F15" s="3"/>
      <c r="G15" s="33" t="s">
        <v>319</v>
      </c>
      <c r="H15" s="34" t="s">
        <v>15</v>
      </c>
      <c r="I15" s="3" t="s">
        <v>16</v>
      </c>
      <c r="J15" s="40"/>
    </row>
    <row r="16" spans="1:15" ht="19.149999999999999" thickTop="1" thickBot="1">
      <c r="A16" s="37">
        <v>13</v>
      </c>
      <c r="B16" s="40"/>
      <c r="C16" s="40"/>
      <c r="D16" s="4" t="s">
        <v>17</v>
      </c>
      <c r="E16" s="4"/>
      <c r="F16" s="3"/>
      <c r="G16" s="33" t="s">
        <v>18</v>
      </c>
      <c r="H16" s="33" t="s">
        <v>320</v>
      </c>
      <c r="I16" s="4" t="s">
        <v>321</v>
      </c>
      <c r="J16" s="40"/>
    </row>
    <row r="17" spans="1:10" ht="19.149999999999999" thickTop="1" thickBot="1">
      <c r="A17" s="37">
        <v>14</v>
      </c>
      <c r="B17" s="40"/>
      <c r="C17" s="40"/>
      <c r="D17" s="4" t="s">
        <v>322</v>
      </c>
      <c r="E17" s="4"/>
      <c r="F17" s="3"/>
      <c r="G17" s="33" t="s">
        <v>323</v>
      </c>
      <c r="H17" s="34" t="s">
        <v>19</v>
      </c>
      <c r="I17" s="3" t="s">
        <v>20</v>
      </c>
      <c r="J17" s="40"/>
    </row>
    <row r="18" spans="1:10" ht="19.149999999999999" thickTop="1" thickBot="1">
      <c r="A18" s="37">
        <v>15</v>
      </c>
      <c r="B18" s="40"/>
      <c r="C18" s="40"/>
      <c r="D18" s="4" t="s">
        <v>22</v>
      </c>
      <c r="E18" s="4"/>
      <c r="F18" s="3"/>
      <c r="G18" s="33" t="s">
        <v>23</v>
      </c>
      <c r="H18" s="33" t="s">
        <v>324</v>
      </c>
      <c r="I18" s="4" t="s">
        <v>325</v>
      </c>
      <c r="J18" s="40"/>
    </row>
    <row r="19" spans="1:10" ht="19.149999999999999" thickTop="1" thickBot="1">
      <c r="A19" s="37">
        <v>16</v>
      </c>
      <c r="B19" s="40"/>
      <c r="C19" s="40"/>
      <c r="D19" s="4" t="s">
        <v>326</v>
      </c>
      <c r="E19" s="4"/>
      <c r="F19" s="3"/>
      <c r="G19" s="33" t="s">
        <v>327</v>
      </c>
      <c r="H19" s="34" t="s">
        <v>188</v>
      </c>
      <c r="I19" s="3" t="s">
        <v>189</v>
      </c>
      <c r="J19" s="40"/>
    </row>
    <row r="20" spans="1:10" ht="18">
      <c r="A20" s="17"/>
      <c r="D20" s="29"/>
      <c r="F20" s="35"/>
      <c r="G20" s="36"/>
      <c r="H20" s="36"/>
      <c r="I20" s="36"/>
    </row>
    <row r="21" spans="1:10" ht="18">
      <c r="A21" s="17"/>
      <c r="D21" s="29"/>
      <c r="F21" s="35"/>
      <c r="G21" s="36"/>
      <c r="H21" s="36"/>
      <c r="I21" s="36"/>
    </row>
    <row r="23" spans="1:10" ht="21">
      <c r="A23" s="9">
        <v>128</v>
      </c>
      <c r="B23" s="9">
        <v>64</v>
      </c>
      <c r="C23" s="9">
        <v>32</v>
      </c>
      <c r="D23" s="9">
        <v>16</v>
      </c>
      <c r="E23" s="9">
        <v>8</v>
      </c>
      <c r="F23" s="9">
        <v>4</v>
      </c>
      <c r="G23" s="9">
        <v>2</v>
      </c>
      <c r="H23" s="9">
        <v>1</v>
      </c>
    </row>
    <row r="24" spans="1:10">
      <c r="A24" s="8">
        <v>1</v>
      </c>
      <c r="B24" s="8">
        <v>1</v>
      </c>
      <c r="C24" s="8">
        <v>1</v>
      </c>
      <c r="D24" s="8">
        <v>1</v>
      </c>
      <c r="E24" s="8">
        <v>0</v>
      </c>
      <c r="F24" s="8">
        <v>0</v>
      </c>
      <c r="G24" s="8">
        <v>0</v>
      </c>
      <c r="H24" s="8">
        <v>0</v>
      </c>
    </row>
    <row r="26" spans="1:10" ht="18">
      <c r="B26" s="10">
        <v>256</v>
      </c>
      <c r="C26" s="10" t="s">
        <v>36</v>
      </c>
    </row>
    <row r="27" spans="1:10" ht="18">
      <c r="B27" s="10">
        <v>240</v>
      </c>
      <c r="C27" s="10"/>
    </row>
    <row r="28" spans="1:10" ht="18">
      <c r="B28" s="31">
        <f>B26-B27</f>
        <v>16</v>
      </c>
      <c r="C28" s="31" t="s">
        <v>37</v>
      </c>
    </row>
  </sheetData>
  <mergeCells count="10">
    <mergeCell ref="G2:G3"/>
    <mergeCell ref="H2:H3"/>
    <mergeCell ref="I2:I3"/>
    <mergeCell ref="J2:J3"/>
    <mergeCell ref="A2:A3"/>
    <mergeCell ref="B2:B3"/>
    <mergeCell ref="C2:C3"/>
    <mergeCell ref="D2:D3"/>
    <mergeCell ref="E2:E3"/>
    <mergeCell ref="F2:F3"/>
  </mergeCells>
  <phoneticPr fontId="10" type="noConversion"/>
  <pageMargins left="0.7" right="0.06" top="0.28999999999999998" bottom="0.24" header="0.19" footer="0.15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BD035-875A-41B6-9911-F456E4547266}">
  <dimension ref="A1:O44"/>
  <sheetViews>
    <sheetView zoomScale="90" zoomScaleNormal="90" workbookViewId="0">
      <selection activeCell="A5" sqref="A5:H5"/>
    </sheetView>
  </sheetViews>
  <sheetFormatPr defaultColWidth="11.42578125" defaultRowHeight="14.45"/>
  <cols>
    <col min="1" max="1" width="10.5703125" customWidth="1"/>
    <col min="2" max="2" width="12.5703125" customWidth="1"/>
    <col min="3" max="3" width="14.42578125" customWidth="1"/>
    <col min="4" max="4" width="14.7109375" customWidth="1"/>
    <col min="5" max="5" width="8" customWidth="1"/>
    <col min="6" max="8" width="16.5703125" customWidth="1"/>
    <col min="9" max="9" width="15.28515625" customWidth="1"/>
    <col min="10" max="10" width="13.5703125" customWidth="1"/>
    <col min="11" max="11" width="2.5703125" customWidth="1"/>
    <col min="13" max="13" width="8.5703125" customWidth="1"/>
    <col min="15" max="15" width="13.7109375" customWidth="1"/>
  </cols>
  <sheetData>
    <row r="1" spans="1:15" ht="15" thickBot="1"/>
    <row r="2" spans="1:15" ht="15.6" customHeight="1" thickBot="1">
      <c r="A2" s="49" t="s">
        <v>0</v>
      </c>
      <c r="B2" s="48" t="s">
        <v>1</v>
      </c>
      <c r="C2" s="48" t="s">
        <v>2</v>
      </c>
      <c r="D2" s="48" t="s">
        <v>3</v>
      </c>
      <c r="E2" s="48" t="s">
        <v>4</v>
      </c>
      <c r="F2" s="48" t="s">
        <v>5</v>
      </c>
      <c r="G2" s="48" t="s">
        <v>6</v>
      </c>
      <c r="H2" s="48" t="s">
        <v>7</v>
      </c>
      <c r="I2" s="48" t="s">
        <v>8</v>
      </c>
      <c r="J2" s="49" t="s">
        <v>159</v>
      </c>
    </row>
    <row r="3" spans="1:15" ht="15" thickBot="1">
      <c r="A3" s="49"/>
      <c r="B3" s="48"/>
      <c r="C3" s="48"/>
      <c r="D3" s="48"/>
      <c r="E3" s="48"/>
      <c r="F3" s="48"/>
      <c r="G3" s="48"/>
      <c r="H3" s="48"/>
      <c r="I3" s="48"/>
      <c r="J3" s="49"/>
      <c r="M3" s="21" t="s">
        <v>160</v>
      </c>
    </row>
    <row r="4" spans="1:15" ht="23.1" customHeight="1" thickBot="1">
      <c r="A4" s="1">
        <v>1</v>
      </c>
      <c r="B4" s="2"/>
      <c r="C4" s="3"/>
      <c r="D4" s="4" t="s">
        <v>9</v>
      </c>
      <c r="E4" s="4">
        <v>29</v>
      </c>
      <c r="F4" s="3">
        <v>255255255248</v>
      </c>
      <c r="G4" s="33" t="s">
        <v>10</v>
      </c>
      <c r="H4" s="33" t="s">
        <v>328</v>
      </c>
      <c r="I4" s="4" t="s">
        <v>329</v>
      </c>
      <c r="J4" s="6"/>
      <c r="L4" s="30">
        <v>2</v>
      </c>
      <c r="M4" s="21" t="s">
        <v>163</v>
      </c>
      <c r="O4" t="s">
        <v>164</v>
      </c>
    </row>
    <row r="5" spans="1:15" ht="23.1" customHeight="1" thickBot="1">
      <c r="A5" s="1">
        <v>2</v>
      </c>
      <c r="B5" s="2"/>
      <c r="C5" s="3"/>
      <c r="D5" s="4" t="s">
        <v>330</v>
      </c>
      <c r="E5" s="4"/>
      <c r="F5" s="3"/>
      <c r="G5" s="33" t="s">
        <v>331</v>
      </c>
      <c r="H5" s="34" t="s">
        <v>307</v>
      </c>
      <c r="I5" s="3" t="s">
        <v>308</v>
      </c>
      <c r="J5" s="6"/>
      <c r="O5">
        <v>30</v>
      </c>
    </row>
    <row r="6" spans="1:15" ht="23.1" customHeight="1" thickBot="1">
      <c r="A6" s="1">
        <v>3</v>
      </c>
      <c r="B6" s="2"/>
      <c r="C6" s="3"/>
      <c r="D6" s="4" t="s">
        <v>309</v>
      </c>
      <c r="E6" s="4"/>
      <c r="F6" s="3"/>
      <c r="G6" s="33" t="s">
        <v>310</v>
      </c>
      <c r="H6" s="33" t="s">
        <v>332</v>
      </c>
      <c r="I6" s="4" t="s">
        <v>333</v>
      </c>
      <c r="J6" s="6"/>
    </row>
    <row r="7" spans="1:15" ht="23.1" customHeight="1" thickBot="1">
      <c r="A7" s="1">
        <v>4</v>
      </c>
      <c r="B7" s="12"/>
      <c r="C7" s="13"/>
      <c r="D7" s="4" t="s">
        <v>334</v>
      </c>
      <c r="E7" s="4"/>
      <c r="F7" s="3"/>
      <c r="G7" s="33" t="s">
        <v>335</v>
      </c>
      <c r="H7" s="34" t="s">
        <v>161</v>
      </c>
      <c r="I7" s="3" t="s">
        <v>162</v>
      </c>
      <c r="J7" s="6"/>
    </row>
    <row r="8" spans="1:15" ht="18.600000000000001" thickBot="1">
      <c r="A8" s="1">
        <v>5</v>
      </c>
      <c r="B8" s="12"/>
      <c r="C8" s="13"/>
      <c r="D8" s="4" t="s">
        <v>165</v>
      </c>
      <c r="E8" s="4"/>
      <c r="F8" s="3"/>
      <c r="G8" s="33" t="s">
        <v>166</v>
      </c>
      <c r="H8" s="33" t="s">
        <v>336</v>
      </c>
      <c r="I8" s="4" t="s">
        <v>337</v>
      </c>
      <c r="J8" s="6"/>
    </row>
    <row r="9" spans="1:15" ht="18.600000000000001" thickBot="1">
      <c r="A9" s="1">
        <v>6</v>
      </c>
      <c r="B9" s="16"/>
      <c r="C9" s="16"/>
      <c r="D9" s="4" t="s">
        <v>338</v>
      </c>
      <c r="E9" s="4"/>
      <c r="F9" s="3"/>
      <c r="G9" s="33" t="s">
        <v>339</v>
      </c>
      <c r="H9" s="34" t="s">
        <v>167</v>
      </c>
      <c r="I9" s="3" t="s">
        <v>168</v>
      </c>
      <c r="J9" s="6"/>
    </row>
    <row r="10" spans="1:15" ht="18.600000000000001" thickBot="1">
      <c r="A10" s="1">
        <v>7</v>
      </c>
      <c r="B10" s="7"/>
      <c r="C10" s="7"/>
      <c r="D10" s="4" t="s">
        <v>169</v>
      </c>
      <c r="E10" s="4"/>
      <c r="F10" s="3"/>
      <c r="G10" s="33" t="s">
        <v>170</v>
      </c>
      <c r="H10" s="33" t="s">
        <v>176</v>
      </c>
      <c r="I10" s="4" t="s">
        <v>177</v>
      </c>
      <c r="J10" s="6"/>
      <c r="L10" t="s">
        <v>190</v>
      </c>
    </row>
    <row r="11" spans="1:15" ht="18.600000000000001" thickBot="1">
      <c r="A11" s="1">
        <v>8</v>
      </c>
      <c r="B11" s="6"/>
      <c r="C11" s="6"/>
      <c r="D11" s="4" t="s">
        <v>179</v>
      </c>
      <c r="E11" s="4"/>
      <c r="F11" s="3"/>
      <c r="G11" s="33" t="s">
        <v>180</v>
      </c>
      <c r="H11" s="34" t="s">
        <v>183</v>
      </c>
      <c r="I11" s="3" t="s">
        <v>184</v>
      </c>
      <c r="J11" s="6"/>
      <c r="M11" s="32">
        <v>5</v>
      </c>
    </row>
    <row r="12" spans="1:15" ht="18.600000000000001" thickBot="1">
      <c r="A12" s="1">
        <v>9</v>
      </c>
      <c r="B12" s="6"/>
      <c r="C12" s="6"/>
      <c r="D12" s="4" t="s">
        <v>185</v>
      </c>
      <c r="E12" s="4"/>
      <c r="F12" s="3"/>
      <c r="G12" s="33" t="s">
        <v>186</v>
      </c>
      <c r="H12" s="33" t="s">
        <v>340</v>
      </c>
      <c r="I12" s="4" t="s">
        <v>341</v>
      </c>
      <c r="J12" s="6"/>
      <c r="L12" s="30">
        <v>2</v>
      </c>
    </row>
    <row r="13" spans="1:15" ht="18.600000000000001" thickBot="1">
      <c r="A13" s="1">
        <v>10</v>
      </c>
      <c r="B13" s="6"/>
      <c r="C13" s="6"/>
      <c r="D13" s="4" t="s">
        <v>342</v>
      </c>
      <c r="E13" s="4"/>
      <c r="F13" s="3"/>
      <c r="G13" s="33" t="s">
        <v>343</v>
      </c>
      <c r="H13" s="34" t="s">
        <v>218</v>
      </c>
      <c r="I13" s="3" t="s">
        <v>219</v>
      </c>
      <c r="J13" s="6"/>
    </row>
    <row r="14" spans="1:15" ht="18.600000000000001" thickBot="1">
      <c r="A14" s="1">
        <v>11</v>
      </c>
      <c r="B14" s="38"/>
      <c r="C14" s="38"/>
      <c r="D14" s="4" t="s">
        <v>220</v>
      </c>
      <c r="E14" s="4"/>
      <c r="F14" s="3"/>
      <c r="G14" s="33" t="s">
        <v>221</v>
      </c>
      <c r="H14" s="33" t="s">
        <v>226</v>
      </c>
      <c r="I14" s="4" t="s">
        <v>227</v>
      </c>
      <c r="J14" s="38"/>
    </row>
    <row r="15" spans="1:15" ht="19.149999999999999" thickTop="1" thickBot="1">
      <c r="A15" s="1">
        <v>12</v>
      </c>
      <c r="B15" s="40"/>
      <c r="C15" s="40"/>
      <c r="D15" s="4" t="s">
        <v>344</v>
      </c>
      <c r="E15" s="4"/>
      <c r="F15" s="3"/>
      <c r="G15" s="33" t="s">
        <v>345</v>
      </c>
      <c r="H15" s="34" t="s">
        <v>301</v>
      </c>
      <c r="I15" s="3" t="s">
        <v>302</v>
      </c>
      <c r="J15" s="40"/>
    </row>
    <row r="16" spans="1:15" ht="19.149999999999999" thickTop="1" thickBot="1">
      <c r="A16" s="1">
        <v>13</v>
      </c>
      <c r="B16" s="40"/>
      <c r="C16" s="40"/>
      <c r="D16" s="4" t="s">
        <v>303</v>
      </c>
      <c r="E16" s="4"/>
      <c r="F16" s="3"/>
      <c r="G16" s="33" t="s">
        <v>304</v>
      </c>
      <c r="H16" s="33" t="s">
        <v>346</v>
      </c>
      <c r="I16" s="4" t="s">
        <v>347</v>
      </c>
      <c r="J16" s="40"/>
    </row>
    <row r="17" spans="1:10" ht="19.149999999999999" thickTop="1" thickBot="1">
      <c r="A17" s="1">
        <v>14</v>
      </c>
      <c r="B17" s="40"/>
      <c r="C17" s="40"/>
      <c r="D17" s="4" t="s">
        <v>348</v>
      </c>
      <c r="E17" s="4"/>
      <c r="F17" s="3"/>
      <c r="G17" s="33" t="s">
        <v>349</v>
      </c>
      <c r="H17" s="34" t="s">
        <v>311</v>
      </c>
      <c r="I17" s="3" t="s">
        <v>312</v>
      </c>
      <c r="J17" s="40"/>
    </row>
    <row r="18" spans="1:10" ht="19.149999999999999" thickTop="1" thickBot="1">
      <c r="A18" s="1">
        <v>15</v>
      </c>
      <c r="B18" s="40"/>
      <c r="C18" s="40"/>
      <c r="D18" s="4" t="s">
        <v>313</v>
      </c>
      <c r="E18" s="4"/>
      <c r="F18" s="3"/>
      <c r="G18" s="33" t="s">
        <v>314</v>
      </c>
      <c r="H18" s="33" t="s">
        <v>350</v>
      </c>
      <c r="I18" s="4" t="s">
        <v>351</v>
      </c>
      <c r="J18" s="40"/>
    </row>
    <row r="19" spans="1:10" ht="19.149999999999999" thickTop="1" thickBot="1">
      <c r="A19" s="1">
        <v>16</v>
      </c>
      <c r="B19" s="41"/>
      <c r="C19" s="41"/>
      <c r="D19" s="4" t="s">
        <v>352</v>
      </c>
      <c r="E19" s="39"/>
      <c r="F19" s="42"/>
      <c r="G19" s="33" t="s">
        <v>353</v>
      </c>
      <c r="H19" s="34" t="s">
        <v>11</v>
      </c>
      <c r="I19" s="3" t="s">
        <v>12</v>
      </c>
      <c r="J19" s="41"/>
    </row>
    <row r="20" spans="1:10" ht="18.600000000000001" thickBot="1">
      <c r="A20" s="1">
        <v>17</v>
      </c>
      <c r="B20" s="6"/>
      <c r="C20" s="6"/>
      <c r="D20" s="4" t="s">
        <v>13</v>
      </c>
      <c r="E20" s="4"/>
      <c r="F20" s="3"/>
      <c r="G20" s="33" t="s">
        <v>14</v>
      </c>
      <c r="H20" s="33" t="s">
        <v>354</v>
      </c>
      <c r="I20" s="4" t="s">
        <v>355</v>
      </c>
      <c r="J20" s="6"/>
    </row>
    <row r="21" spans="1:10" ht="18.600000000000001" thickBot="1">
      <c r="A21" s="1">
        <v>18</v>
      </c>
      <c r="B21" s="6"/>
      <c r="C21" s="6"/>
      <c r="D21" s="4" t="s">
        <v>356</v>
      </c>
      <c r="E21" s="4"/>
      <c r="F21" s="3"/>
      <c r="G21" s="33" t="s">
        <v>357</v>
      </c>
      <c r="H21" s="34" t="s">
        <v>315</v>
      </c>
      <c r="I21" s="3" t="s">
        <v>197</v>
      </c>
      <c r="J21" s="6"/>
    </row>
    <row r="22" spans="1:10" ht="18.600000000000001" thickBot="1">
      <c r="A22" s="1">
        <v>19</v>
      </c>
      <c r="B22" s="6"/>
      <c r="C22" s="6"/>
      <c r="D22" s="4" t="s">
        <v>199</v>
      </c>
      <c r="E22" s="4"/>
      <c r="F22" s="3"/>
      <c r="G22" s="33" t="s">
        <v>200</v>
      </c>
      <c r="H22" s="33" t="s">
        <v>206</v>
      </c>
      <c r="I22" s="4" t="s">
        <v>207</v>
      </c>
      <c r="J22" s="6"/>
    </row>
    <row r="23" spans="1:10" ht="18.600000000000001" thickBot="1">
      <c r="A23" s="1">
        <v>20</v>
      </c>
      <c r="B23" s="6"/>
      <c r="C23" s="6"/>
      <c r="D23" s="4" t="s">
        <v>208</v>
      </c>
      <c r="E23" s="4"/>
      <c r="F23" s="3"/>
      <c r="G23" s="33" t="s">
        <v>209</v>
      </c>
      <c r="H23" s="34" t="s">
        <v>216</v>
      </c>
      <c r="I23" s="3" t="s">
        <v>217</v>
      </c>
      <c r="J23" s="6"/>
    </row>
    <row r="24" spans="1:10" ht="18.600000000000001" thickBot="1">
      <c r="A24" s="1">
        <v>21</v>
      </c>
      <c r="B24" s="6"/>
      <c r="C24" s="6"/>
      <c r="D24" s="4" t="s">
        <v>305</v>
      </c>
      <c r="E24" s="4"/>
      <c r="F24" s="3"/>
      <c r="G24" s="33" t="s">
        <v>306</v>
      </c>
      <c r="H24" s="33" t="s">
        <v>358</v>
      </c>
      <c r="I24" s="4" t="s">
        <v>359</v>
      </c>
      <c r="J24" s="6"/>
    </row>
    <row r="25" spans="1:10" ht="18.600000000000001" thickBot="1">
      <c r="A25" s="1">
        <v>22</v>
      </c>
      <c r="B25" s="6"/>
      <c r="C25" s="6"/>
      <c r="D25" s="4" t="s">
        <v>360</v>
      </c>
      <c r="E25" s="4"/>
      <c r="F25" s="3"/>
      <c r="G25" s="33" t="s">
        <v>361</v>
      </c>
      <c r="H25" s="34" t="s">
        <v>316</v>
      </c>
      <c r="I25" s="3" t="s">
        <v>317</v>
      </c>
      <c r="J25" s="6"/>
    </row>
    <row r="26" spans="1:10" ht="18.600000000000001" thickBot="1">
      <c r="A26" s="1">
        <v>23</v>
      </c>
      <c r="B26" s="6"/>
      <c r="C26" s="6"/>
      <c r="D26" s="4" t="s">
        <v>318</v>
      </c>
      <c r="E26" s="4"/>
      <c r="F26" s="3"/>
      <c r="G26" s="33" t="s">
        <v>319</v>
      </c>
      <c r="H26" s="33" t="s">
        <v>362</v>
      </c>
      <c r="I26" s="4" t="s">
        <v>363</v>
      </c>
      <c r="J26" s="6"/>
    </row>
    <row r="27" spans="1:10" ht="18.600000000000001" thickBot="1">
      <c r="A27" s="1">
        <v>24</v>
      </c>
      <c r="B27" s="6"/>
      <c r="C27" s="6"/>
      <c r="D27" s="4" t="s">
        <v>364</v>
      </c>
      <c r="E27" s="4"/>
      <c r="F27" s="3"/>
      <c r="G27" s="33" t="s">
        <v>365</v>
      </c>
      <c r="H27" s="34" t="s">
        <v>15</v>
      </c>
      <c r="I27" s="3" t="s">
        <v>16</v>
      </c>
      <c r="J27" s="6"/>
    </row>
    <row r="28" spans="1:10" ht="18.600000000000001" thickBot="1">
      <c r="A28" s="1">
        <v>25</v>
      </c>
      <c r="B28" s="6"/>
      <c r="C28" s="6"/>
      <c r="D28" s="4" t="s">
        <v>17</v>
      </c>
      <c r="E28" s="4"/>
      <c r="F28" s="3"/>
      <c r="G28" s="33" t="s">
        <v>18</v>
      </c>
      <c r="H28" s="33" t="s">
        <v>366</v>
      </c>
      <c r="I28" s="4" t="s">
        <v>367</v>
      </c>
      <c r="J28" s="6"/>
    </row>
    <row r="29" spans="1:10" ht="18.600000000000001" thickBot="1">
      <c r="A29" s="1">
        <v>26</v>
      </c>
      <c r="B29" s="6"/>
      <c r="C29" s="6"/>
      <c r="D29" s="4" t="s">
        <v>368</v>
      </c>
      <c r="E29" s="4"/>
      <c r="F29" s="3"/>
      <c r="G29" s="33" t="s">
        <v>369</v>
      </c>
      <c r="H29" s="34" t="s">
        <v>320</v>
      </c>
      <c r="I29" s="3" t="s">
        <v>321</v>
      </c>
      <c r="J29" s="6"/>
    </row>
    <row r="30" spans="1:10" ht="18.600000000000001" thickBot="1">
      <c r="A30" s="1">
        <v>27</v>
      </c>
      <c r="B30" s="6"/>
      <c r="C30" s="6"/>
      <c r="D30" s="4" t="s">
        <v>322</v>
      </c>
      <c r="E30" s="4"/>
      <c r="F30" s="3"/>
      <c r="G30" s="33" t="s">
        <v>323</v>
      </c>
      <c r="H30" s="33" t="s">
        <v>370</v>
      </c>
      <c r="I30" s="4" t="s">
        <v>371</v>
      </c>
      <c r="J30" s="6"/>
    </row>
    <row r="31" spans="1:10" ht="18.600000000000001" thickBot="1">
      <c r="A31" s="1">
        <v>28</v>
      </c>
      <c r="B31" s="6"/>
      <c r="C31" s="6"/>
      <c r="D31" s="4" t="s">
        <v>372</v>
      </c>
      <c r="E31" s="4"/>
      <c r="F31" s="3"/>
      <c r="G31" s="33" t="s">
        <v>373</v>
      </c>
      <c r="H31" s="34" t="s">
        <v>19</v>
      </c>
      <c r="I31" s="3" t="s">
        <v>20</v>
      </c>
      <c r="J31" s="6"/>
    </row>
    <row r="32" spans="1:10" ht="18.600000000000001" thickBot="1">
      <c r="A32" s="1">
        <v>29</v>
      </c>
      <c r="B32" s="6"/>
      <c r="C32" s="6"/>
      <c r="D32" s="4" t="s">
        <v>22</v>
      </c>
      <c r="E32" s="4"/>
      <c r="F32" s="3"/>
      <c r="G32" s="33" t="s">
        <v>23</v>
      </c>
      <c r="H32" s="33" t="s">
        <v>29</v>
      </c>
      <c r="I32" s="4" t="s">
        <v>30</v>
      </c>
      <c r="J32" s="6"/>
    </row>
    <row r="33" spans="1:10" ht="18.600000000000001" thickBot="1">
      <c r="A33" s="1">
        <v>30</v>
      </c>
      <c r="B33" s="6"/>
      <c r="C33" s="6"/>
      <c r="D33" s="4" t="s">
        <v>32</v>
      </c>
      <c r="E33" s="4"/>
      <c r="F33" s="3"/>
      <c r="G33" s="33" t="s">
        <v>33</v>
      </c>
      <c r="H33" s="34" t="s">
        <v>324</v>
      </c>
      <c r="I33" s="3" t="s">
        <v>325</v>
      </c>
      <c r="J33" s="6"/>
    </row>
    <row r="34" spans="1:10" ht="18.600000000000001" thickBot="1">
      <c r="A34" s="1">
        <v>31</v>
      </c>
      <c r="B34" s="6"/>
      <c r="C34" s="6"/>
      <c r="D34" s="4" t="s">
        <v>326</v>
      </c>
      <c r="E34" s="4"/>
      <c r="F34" s="3"/>
      <c r="G34" s="33" t="s">
        <v>327</v>
      </c>
      <c r="H34" s="33" t="s">
        <v>374</v>
      </c>
      <c r="I34" s="4" t="s">
        <v>375</v>
      </c>
      <c r="J34" s="6"/>
    </row>
    <row r="35" spans="1:10" ht="18.600000000000001" thickBot="1">
      <c r="A35" s="1">
        <v>32</v>
      </c>
      <c r="B35" s="6"/>
      <c r="C35" s="6"/>
      <c r="D35" s="4" t="s">
        <v>376</v>
      </c>
      <c r="E35" s="4"/>
      <c r="F35" s="3"/>
      <c r="G35" s="33" t="s">
        <v>377</v>
      </c>
      <c r="H35" s="34" t="s">
        <v>188</v>
      </c>
      <c r="I35" s="3" t="s">
        <v>189</v>
      </c>
      <c r="J35" s="6"/>
    </row>
    <row r="36" spans="1:10" ht="18">
      <c r="A36" s="17"/>
      <c r="D36" s="29"/>
      <c r="F36" s="35"/>
      <c r="G36" s="36"/>
      <c r="H36" s="36"/>
      <c r="I36" s="36"/>
    </row>
    <row r="37" spans="1:10" ht="18">
      <c r="A37" s="17"/>
      <c r="D37" s="29"/>
      <c r="F37" s="35"/>
      <c r="G37" s="36"/>
      <c r="H37" s="36"/>
      <c r="I37" s="36"/>
    </row>
    <row r="39" spans="1:10" ht="21">
      <c r="A39" s="9">
        <v>128</v>
      </c>
      <c r="B39" s="9">
        <v>64</v>
      </c>
      <c r="C39" s="9">
        <v>32</v>
      </c>
      <c r="D39" s="9">
        <v>16</v>
      </c>
      <c r="E39" s="9">
        <v>8</v>
      </c>
      <c r="F39" s="9">
        <v>4</v>
      </c>
      <c r="G39" s="9">
        <v>2</v>
      </c>
      <c r="H39" s="9">
        <v>1</v>
      </c>
    </row>
    <row r="40" spans="1:10">
      <c r="A40" s="8">
        <v>1</v>
      </c>
      <c r="B40" s="8">
        <v>1</v>
      </c>
      <c r="C40" s="8">
        <v>1</v>
      </c>
      <c r="D40" s="8">
        <v>1</v>
      </c>
      <c r="E40" s="8">
        <v>1</v>
      </c>
      <c r="F40" s="8">
        <v>0</v>
      </c>
      <c r="G40" s="8">
        <v>0</v>
      </c>
      <c r="H40" s="8">
        <v>0</v>
      </c>
    </row>
    <row r="42" spans="1:10" ht="18">
      <c r="B42" s="10">
        <v>256</v>
      </c>
      <c r="C42" s="10" t="s">
        <v>36</v>
      </c>
    </row>
    <row r="43" spans="1:10" ht="18">
      <c r="B43" s="10">
        <v>248</v>
      </c>
      <c r="C43" s="10"/>
    </row>
    <row r="44" spans="1:10" ht="18">
      <c r="B44" s="31">
        <f>B42-B43</f>
        <v>8</v>
      </c>
      <c r="C44" s="31" t="s">
        <v>37</v>
      </c>
    </row>
  </sheetData>
  <mergeCells count="10">
    <mergeCell ref="G2:G3"/>
    <mergeCell ref="H2:H3"/>
    <mergeCell ref="I2:I3"/>
    <mergeCell ref="J2:J3"/>
    <mergeCell ref="A2:A3"/>
    <mergeCell ref="B2:B3"/>
    <mergeCell ref="C2:C3"/>
    <mergeCell ref="D2:D3"/>
    <mergeCell ref="E2:E3"/>
    <mergeCell ref="F2:F3"/>
  </mergeCells>
  <phoneticPr fontId="10" type="noConversion"/>
  <pageMargins left="0.7" right="0.06" top="0.28999999999999998" bottom="0.24" header="0.19" footer="0.15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Familia</dc:creator>
  <cp:keywords/>
  <dc:description/>
  <cp:lastModifiedBy>VERONICA NICOLAS NICOLAS</cp:lastModifiedBy>
  <cp:revision/>
  <dcterms:created xsi:type="dcterms:W3CDTF">2018-06-26T20:06:46Z</dcterms:created>
  <dcterms:modified xsi:type="dcterms:W3CDTF">2025-03-29T17:37:20Z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24a2bc59-d921-49f2-88d4-2123bbc546ea</vt:lpwstr>
  </property>
</Properties>
</file>