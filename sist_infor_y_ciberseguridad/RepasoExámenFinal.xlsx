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xr:revisionPtr revIDLastSave="0" documentId="8_{38BD2908-773F-477D-934E-A9022033E7B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its y Host para Network" sheetId="1" r:id="rId1"/>
    <sheet name="Hoja2" sheetId="11" r:id="rId2"/>
    <sheet name="Host para máscara" sheetId="2" r:id="rId3"/>
    <sheet name="VLSM" sheetId="3" r:id="rId4"/>
    <sheet name="Bits por IPV6" sheetId="5" r:id="rId5"/>
    <sheet name="DHCP" sheetId="6" r:id="rId6"/>
    <sheet name="CMD" sheetId="7" r:id="rId7"/>
    <sheet name="Terminal Linux" sheetId="8" r:id="rId8"/>
    <sheet name="Unir 2 equipos en la misma red" sheetId="9" r:id="rId9"/>
    <sheet name="Enrutar en estática" sheetId="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" i="1"/>
  <c r="C1" i="1" s="1"/>
  <c r="D1" i="1" s="1"/>
  <c r="E1" i="1" s="1"/>
  <c r="F1" i="1" s="1"/>
  <c r="G1" i="1" s="1"/>
</calcChain>
</file>

<file path=xl/sharedStrings.xml><?xml version="1.0" encoding="utf-8"?>
<sst xmlns="http://schemas.openxmlformats.org/spreadsheetml/2006/main" count="110" uniqueCount="88">
  <si>
    <t>0-127</t>
  </si>
  <si>
    <t>Clase A</t>
  </si>
  <si>
    <t>255.0.0.0</t>
  </si>
  <si>
    <t>8 bits</t>
  </si>
  <si>
    <t>128-191</t>
  </si>
  <si>
    <t>Clase B</t>
  </si>
  <si>
    <t>255.255.0.0</t>
  </si>
  <si>
    <t>16 bits</t>
  </si>
  <si>
    <t>192-223</t>
  </si>
  <si>
    <t>Clase C</t>
  </si>
  <si>
    <t>255.255.255.0</t>
  </si>
  <si>
    <t>24 bits</t>
  </si>
  <si>
    <t>Máscara: xxx-xxx-xxx-xxx  Se dividen en 4 octetos = 8-8-8-8 que equivalen a 32 bits</t>
  </si>
  <si>
    <t>¿Cuántos bits (encendidos) le corresponden a la network 192.168.1.0/25?</t>
  </si>
  <si>
    <t>192</t>
  </si>
  <si>
    <t>168</t>
  </si>
  <si>
    <t>1</t>
  </si>
  <si>
    <t>0</t>
  </si>
  <si>
    <t>/25</t>
  </si>
  <si>
    <t>ENCIENDO 1</t>
  </si>
  <si>
    <t>11111111</t>
  </si>
  <si>
    <t>10000000</t>
  </si>
  <si>
    <t>/26</t>
  </si>
  <si>
    <t>ENCIENDO 2</t>
  </si>
  <si>
    <t>1111111</t>
  </si>
  <si>
    <t>11000000</t>
  </si>
  <si>
    <t>/27</t>
  </si>
  <si>
    <t>ENCIENDO 3</t>
  </si>
  <si>
    <t>11100000</t>
  </si>
  <si>
    <t>Para averiguar los bits encendidos o la máscara hay que ver la clase de la IP para llegar a los bits máximos que se indican después de la barra. Añadir los unos que toquen y poner la suma de su equivalencia.</t>
  </si>
  <si>
    <t>¿Cuántos host totales le corresponde a la Network 192.168.1.0/25?</t>
  </si>
  <si>
    <t>7 ceros BITS SIN ENCENDER</t>
  </si>
  <si>
    <t>2 elevado a 7</t>
  </si>
  <si>
    <t>128 hots totales</t>
  </si>
  <si>
    <t>Para averiguar los host totales hay que averiguar la mascara también pero esta vez nos quedamos con los bits sin activar y el numero de ceros será el exponente para elevar el 2 y el resultado son los host totales.</t>
  </si>
  <si>
    <t>¿Cuántos Host Totales le corresponden a la máscara 255.255.192.0?</t>
  </si>
  <si>
    <t>Siguiente hoja</t>
  </si>
  <si>
    <t>CONTADOR</t>
  </si>
  <si>
    <t>Los 16384 se hayan de la máscara, de los ceros que salgan 2 elevado a 14 ceros</t>
  </si>
  <si>
    <t>00000000</t>
  </si>
  <si>
    <t>¿Tenemos las VLSM para la Network 192.168.1.0/24?</t>
  </si>
  <si>
    <r>
      <rPr>
        <sz val="11"/>
        <color rgb="FF000000"/>
        <rFont val="Aptos Narrow"/>
      </rPr>
      <t xml:space="preserve">Que máscara le corresponde a la </t>
    </r>
    <r>
      <rPr>
        <sz val="11"/>
        <color rgb="FFE87331"/>
        <rFont val="Aptos Narrow"/>
      </rPr>
      <t>petición de 8</t>
    </r>
  </si>
  <si>
    <r>
      <rPr>
        <sz val="11"/>
        <color rgb="FF000000"/>
        <rFont val="Aptos Narrow"/>
        <scheme val="minor"/>
      </rPr>
      <t xml:space="preserve">2 elevado a </t>
    </r>
    <r>
      <rPr>
        <sz val="11"/>
        <color rgb="FFE87331"/>
        <rFont val="Aptos Narrow"/>
        <scheme val="minor"/>
      </rPr>
      <t>4</t>
    </r>
    <r>
      <rPr>
        <sz val="11"/>
        <color rgb="FF000000"/>
        <rFont val="Aptos Narrow"/>
        <scheme val="minor"/>
      </rPr>
      <t xml:space="preserve"> son 16 menos 2 son 14 cumplo los 8 equipos que quiero meter en la red.</t>
    </r>
  </si>
  <si>
    <t>Nos quedamos con el 4 que son 4 ceros que hay que dejar como bits sin encender.</t>
  </si>
  <si>
    <t>11110000</t>
  </si>
  <si>
    <r>
      <rPr>
        <sz val="11"/>
        <color rgb="FF242424"/>
        <rFont val="Aptos Narrow"/>
      </rPr>
      <t xml:space="preserve">Que máscara le corresponde a la </t>
    </r>
    <r>
      <rPr>
        <sz val="11"/>
        <color rgb="FFE87331"/>
        <rFont val="Aptos Narrow"/>
      </rPr>
      <t>petición de 39</t>
    </r>
  </si>
  <si>
    <r>
      <rPr>
        <sz val="11"/>
        <color rgb="FF000000"/>
        <rFont val="Aptos Narrow"/>
        <scheme val="minor"/>
      </rPr>
      <t>2 elevado a</t>
    </r>
    <r>
      <rPr>
        <sz val="11"/>
        <color rgb="FFE87331"/>
        <rFont val="Aptos Narrow"/>
        <scheme val="minor"/>
      </rPr>
      <t xml:space="preserve"> 6</t>
    </r>
    <r>
      <rPr>
        <sz val="11"/>
        <color rgb="FF000000"/>
        <rFont val="Aptos Narrow"/>
        <scheme val="minor"/>
      </rPr>
      <t xml:space="preserve"> son 64</t>
    </r>
  </si>
  <si>
    <t>Pongo 6 ceros para calcular la máscara</t>
  </si>
  <si>
    <t>HEXTETOS IPV6: Se utiliza para internet son muy rápidas y no se agotan.</t>
  </si>
  <si>
    <t>8 HEXTETOS SEPARADOS POR DOS PUNTOS</t>
  </si>
  <si>
    <t>CADA UNO VALE 16 BITS</t>
  </si>
  <si>
    <t>A:B:C:D:E:F::/</t>
  </si>
  <si>
    <t>000A:000B:000C:000D:000E:000F:0000:0000</t>
  </si>
  <si>
    <t>Esta IP son 48 bits</t>
  </si>
  <si>
    <t xml:space="preserve">SE SUNETEA POR EL CUARTO HEXTETO </t>
  </si>
  <si>
    <t>Protocolo/servicio de red que se utiliza para asignar direcciones de IP a las máquinas</t>
  </si>
  <si>
    <t>Asigna también DNS el cual se encarga de traducir nombres de dominio a direcciones IP. </t>
  </si>
  <si>
    <t>ipconfig /all</t>
  </si>
  <si>
    <t>md</t>
  </si>
  <si>
    <t>Crear carpeta</t>
  </si>
  <si>
    <t>attrib</t>
  </si>
  <si>
    <t>Se consultan permisos</t>
  </si>
  <si>
    <t>attrib +a</t>
  </si>
  <si>
    <t>Protege de modificar</t>
  </si>
  <si>
    <t>attrib +r</t>
  </si>
  <si>
    <t>Protege lectura</t>
  </si>
  <si>
    <t>attrib +h</t>
  </si>
  <si>
    <t>Oculta</t>
  </si>
  <si>
    <t>attrib +s</t>
  </si>
  <si>
    <t>Para marcarlos como archivos de sistema</t>
  </si>
  <si>
    <t>chmod drwx</t>
  </si>
  <si>
    <r>
      <rPr>
        <sz val="11"/>
        <color rgb="FF000000"/>
        <rFont val="Aptos Narrow"/>
      </rPr>
      <t xml:space="preserve">chmod d </t>
    </r>
    <r>
      <rPr>
        <sz val="11"/>
        <color rgb="FFC00000"/>
        <rFont val="Aptos Narrow"/>
      </rPr>
      <t>DUEÑO</t>
    </r>
    <r>
      <rPr>
        <sz val="11"/>
        <color rgb="FF000000"/>
        <rFont val="Aptos Narrow"/>
      </rPr>
      <t xml:space="preserve"> </t>
    </r>
    <r>
      <rPr>
        <sz val="11"/>
        <color rgb="FFA02B93"/>
        <rFont val="Aptos Narrow"/>
      </rPr>
      <t>GRUPO</t>
    </r>
    <r>
      <rPr>
        <sz val="11"/>
        <color rgb="FF186C24"/>
        <rFont val="Aptos Narrow"/>
      </rPr>
      <t xml:space="preserve"> </t>
    </r>
    <r>
      <rPr>
        <sz val="11"/>
        <color rgb="FF4EA72E"/>
        <rFont val="Aptos Narrow"/>
      </rPr>
      <t>RESTO DE USUARIOS</t>
    </r>
  </si>
  <si>
    <r>
      <rPr>
        <sz val="15"/>
        <color rgb="FF000000"/>
        <rFont val="Aptos Narrow"/>
      </rPr>
      <t xml:space="preserve">chmod </t>
    </r>
    <r>
      <rPr>
        <b/>
        <sz val="15"/>
        <color rgb="FF000000"/>
        <rFont val="Aptos Narrow"/>
      </rPr>
      <t>d</t>
    </r>
    <r>
      <rPr>
        <sz val="15"/>
        <color rgb="FF000000"/>
        <rFont val="Aptos Narrow"/>
      </rPr>
      <t xml:space="preserve"> </t>
    </r>
    <r>
      <rPr>
        <sz val="15"/>
        <color rgb="FFC00000"/>
        <rFont val="Aptos Narrow"/>
      </rPr>
      <t>---</t>
    </r>
    <r>
      <rPr>
        <sz val="15"/>
        <color rgb="FF000000"/>
        <rFont val="Aptos Narrow"/>
      </rPr>
      <t xml:space="preserve"> </t>
    </r>
    <r>
      <rPr>
        <sz val="15"/>
        <color rgb="FFA02B93"/>
        <rFont val="Aptos Narrow"/>
      </rPr>
      <t>---</t>
    </r>
    <r>
      <rPr>
        <sz val="15"/>
        <color rgb="FF000000"/>
        <rFont val="Aptos Narrow"/>
      </rPr>
      <t xml:space="preserve"> </t>
    </r>
    <r>
      <rPr>
        <sz val="15"/>
        <color rgb="FF4EA72E"/>
        <rFont val="Aptos Narrow"/>
      </rPr>
      <t>---</t>
    </r>
  </si>
  <si>
    <t>chmod se usa para tratar propiedades/restricciones a una carpeta linux</t>
  </si>
  <si>
    <r>
      <rPr>
        <sz val="11"/>
        <color rgb="FF000000"/>
        <rFont val="Aptos Narrow"/>
      </rPr>
      <t xml:space="preserve">Si empieza por </t>
    </r>
    <r>
      <rPr>
        <b/>
        <sz val="11"/>
        <color rgb="FF000000"/>
        <rFont val="Aptos Narrow"/>
      </rPr>
      <t>d:</t>
    </r>
    <r>
      <rPr>
        <sz val="11"/>
        <color rgb="FF000000"/>
        <rFont val="Aptos Narrow"/>
      </rPr>
      <t xml:space="preserve"> chmod</t>
    </r>
    <r>
      <rPr>
        <b/>
        <sz val="11"/>
        <color rgb="FF000000"/>
        <rFont val="Aptos Narrow"/>
      </rPr>
      <t xml:space="preserve"> d</t>
    </r>
  </si>
  <si>
    <r>
      <rPr>
        <sz val="11"/>
        <color rgb="FF242424"/>
        <rFont val="Aptos Narrow"/>
      </rPr>
      <t>Si empieza por</t>
    </r>
    <r>
      <rPr>
        <b/>
        <sz val="11"/>
        <color rgb="FF242424"/>
        <rFont val="Aptos Narrow"/>
      </rPr>
      <t xml:space="preserve"> guión</t>
    </r>
    <r>
      <rPr>
        <sz val="11"/>
        <color rgb="FF242424"/>
        <rFont val="Aptos Narrow"/>
      </rPr>
      <t xml:space="preserve">: chmod </t>
    </r>
    <r>
      <rPr>
        <b/>
        <sz val="11"/>
        <color rgb="FF242424"/>
        <rFont val="Aptos Narrow"/>
      </rPr>
      <t>-</t>
    </r>
    <r>
      <rPr>
        <sz val="11"/>
        <color rgb="FF242424"/>
        <rFont val="Aptos Narrow"/>
      </rPr>
      <t xml:space="preserve"> es un archivo</t>
    </r>
  </si>
  <si>
    <t>RWX</t>
  </si>
  <si>
    <t>LEER 4</t>
  </si>
  <si>
    <t>ESCRIBIR 2</t>
  </si>
  <si>
    <t>EJECUTAR 1</t>
  </si>
  <si>
    <t>chmod d R-- --X R-- ESTO EN VALOR NUMÉRICO ES 414</t>
  </si>
  <si>
    <t>Mismo grupo de trabajo</t>
  </si>
  <si>
    <t>Diferente nombre de equipo</t>
  </si>
  <si>
    <t>Activar detección de redes</t>
  </si>
  <si>
    <t>Activar uso compartido de archivos e impresoras</t>
  </si>
  <si>
    <t>Enrutar en estática de Madrid a Cádiz</t>
  </si>
  <si>
    <r>
      <rPr>
        <sz val="11"/>
        <color rgb="FF000000"/>
        <rFont val="Aptos Narrow"/>
      </rPr>
      <t xml:space="preserve">IP ROUTE </t>
    </r>
    <r>
      <rPr>
        <sz val="11"/>
        <color rgb="FFE87331"/>
        <rFont val="Aptos Narrow"/>
      </rPr>
      <t>DESTINO</t>
    </r>
    <r>
      <rPr>
        <sz val="11"/>
        <color rgb="FF000000"/>
        <rFont val="Aptos Narrow"/>
      </rPr>
      <t xml:space="preserve"> </t>
    </r>
    <r>
      <rPr>
        <sz val="11"/>
        <color rgb="FFA02B93"/>
        <rFont val="Aptos Narrow"/>
      </rPr>
      <t>MASCARA</t>
    </r>
    <r>
      <rPr>
        <sz val="11"/>
        <color rgb="FF000000"/>
        <rFont val="Aptos Narrow"/>
      </rPr>
      <t xml:space="preserve"> </t>
    </r>
    <r>
      <rPr>
        <sz val="11"/>
        <color rgb="FF4EA72E"/>
        <rFont val="Aptos Narrow"/>
      </rPr>
      <t>PUERTA DE ENTRADA</t>
    </r>
  </si>
  <si>
    <r>
      <rPr>
        <sz val="11"/>
        <color rgb="FF000000"/>
        <rFont val="Aptos Narrow"/>
        <scheme val="minor"/>
      </rPr>
      <t xml:space="preserve">IP ROUTE </t>
    </r>
    <r>
      <rPr>
        <sz val="11"/>
        <color rgb="FFE87331"/>
        <rFont val="Aptos Narrow"/>
        <scheme val="minor"/>
      </rPr>
      <t>192.168.3.0</t>
    </r>
    <r>
      <rPr>
        <sz val="11"/>
        <color rgb="FF000000"/>
        <rFont val="Aptos Narrow"/>
        <scheme val="minor"/>
      </rPr>
      <t xml:space="preserve"> </t>
    </r>
    <r>
      <rPr>
        <sz val="11"/>
        <color rgb="FFA02B93"/>
        <rFont val="Aptos Narrow"/>
        <scheme val="minor"/>
      </rPr>
      <t>255.255.255.224</t>
    </r>
    <r>
      <rPr>
        <sz val="11"/>
        <color rgb="FF000000"/>
        <rFont val="Aptos Narrow"/>
        <scheme val="minor"/>
      </rPr>
      <t xml:space="preserve"> </t>
    </r>
    <r>
      <rPr>
        <sz val="11"/>
        <color rgb="FF4EA72E"/>
        <rFont val="Aptos Narrow"/>
        <scheme val="minor"/>
      </rPr>
      <t>192.168.30.2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</si>
</sst>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</font>
    <font>
      <sz val="11"/>
      <color rgb="FFE87331"/>
      <name val="Aptos Narrow"/>
    </font>
    <font>
      <sz val="11"/>
      <color theme="1"/>
      <name val="Aptos Narrow"/>
    </font>
    <font>
      <sz val="11"/>
      <color rgb="FF242424"/>
      <name val="Aptos Narrow"/>
    </font>
    <font>
      <sz val="11"/>
      <color rgb="FFE87331"/>
      <name val="Aptos Narrow"/>
      <scheme val="minor"/>
    </font>
    <font>
      <sz val="11"/>
      <color rgb="FFA02B93"/>
      <name val="Aptos Narrow"/>
    </font>
    <font>
      <sz val="11"/>
      <color rgb="FF4EA72E"/>
      <name val="Aptos Narrow"/>
    </font>
    <font>
      <sz val="11"/>
      <color rgb="FFA02B93"/>
      <name val="Aptos Narrow"/>
      <scheme val="minor"/>
    </font>
    <font>
      <sz val="11"/>
      <color rgb="FF4EA72E"/>
      <name val="Aptos Narrow"/>
      <scheme val="minor"/>
    </font>
    <font>
      <sz val="11"/>
      <color rgb="FF186C24"/>
      <name val="Aptos Narrow"/>
    </font>
    <font>
      <sz val="11"/>
      <color rgb="FFC00000"/>
      <name val="Aptos Narrow"/>
    </font>
    <font>
      <sz val="15"/>
      <color theme="1"/>
      <name val="Aptos Narrow"/>
    </font>
    <font>
      <sz val="15"/>
      <color rgb="FF000000"/>
      <name val="Aptos Narrow"/>
    </font>
    <font>
      <sz val="15"/>
      <color rgb="FFC00000"/>
      <name val="Aptos Narrow"/>
    </font>
    <font>
      <sz val="15"/>
      <color rgb="FFA02B93"/>
      <name val="Aptos Narrow"/>
    </font>
    <font>
      <sz val="15"/>
      <color rgb="FF4EA72E"/>
      <name val="Aptos Narrow"/>
    </font>
    <font>
      <b/>
      <sz val="15"/>
      <color rgb="FF000000"/>
      <name val="Aptos Narrow"/>
    </font>
    <font>
      <b/>
      <sz val="11"/>
      <color rgb="FF000000"/>
      <name val="Aptos Narrow"/>
    </font>
    <font>
      <b/>
      <sz val="11"/>
      <color rgb="FF242424"/>
      <name val="Aptos Narrow"/>
    </font>
    <font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left"/>
    </xf>
    <xf numFmtId="49" fontId="0" fillId="0" borderId="0" xfId="0" applyNumberFormat="1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6" fillId="0" borderId="0" xfId="0" applyFont="1"/>
    <xf numFmtId="0" fontId="7" fillId="0" borderId="0" xfId="0" applyFont="1"/>
    <xf numFmtId="0" fontId="15" fillId="0" borderId="0" xfId="0" applyFont="1"/>
    <xf numFmtId="0" fontId="4" fillId="0" borderId="0" xfId="0" applyFont="1"/>
    <xf numFmtId="0" fontId="23" fillId="0" borderId="0" xfId="0" applyFont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15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8803F4-B22F-9B40-B8E6-D1EC450C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3019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7</xdr:col>
      <xdr:colOff>304800</xdr:colOff>
      <xdr:row>35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A7F63D-D929-B3E6-9B63-B136B1BBB185}"/>
            </a:ext>
            <a:ext uri="{147F2762-F138-4A5C-976F-8EAC2B608ADB}">
              <a16:predDERef xmlns:a16="http://schemas.microsoft.com/office/drawing/2014/main" pred="{AD8803F4-B22F-9B40-B8E6-D1EC450C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8500"/>
          <a:ext cx="4572000" cy="3552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sqref="A1:G1"/>
    </sheetView>
  </sheetViews>
  <sheetFormatPr defaultRowHeight="15"/>
  <cols>
    <col min="1" max="1" width="27.7109375" customWidth="1"/>
    <col min="2" max="2" width="9.85546875" bestFit="1" customWidth="1"/>
    <col min="3" max="3" width="14.5703125" customWidth="1"/>
    <col min="4" max="5" width="9.85546875" bestFit="1" customWidth="1"/>
    <col min="6" max="6" width="10.140625" customWidth="1"/>
    <col min="7" max="8" width="9.85546875" bestFit="1" customWidth="1"/>
  </cols>
  <sheetData>
    <row r="1" spans="1:8">
      <c r="A1" s="1">
        <v>128</v>
      </c>
      <c r="B1" s="2">
        <f>A1/2</f>
        <v>64</v>
      </c>
      <c r="C1" s="2">
        <f t="shared" ref="C1:G1" si="0">B1/2</f>
        <v>32</v>
      </c>
      <c r="D1" s="2">
        <f t="shared" si="0"/>
        <v>16</v>
      </c>
      <c r="E1" s="2">
        <f t="shared" si="0"/>
        <v>8</v>
      </c>
      <c r="F1" s="2">
        <f t="shared" si="0"/>
        <v>4</v>
      </c>
      <c r="G1" s="2">
        <f t="shared" si="0"/>
        <v>2</v>
      </c>
      <c r="H1" s="3">
        <v>1</v>
      </c>
    </row>
    <row r="2" spans="1:8">
      <c r="A2" s="4">
        <v>1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6">
        <v>1</v>
      </c>
    </row>
    <row r="5" spans="1:8">
      <c r="A5" t="s">
        <v>0</v>
      </c>
      <c r="B5" t="s">
        <v>1</v>
      </c>
      <c r="C5" t="s">
        <v>2</v>
      </c>
      <c r="D5" t="s">
        <v>3</v>
      </c>
    </row>
    <row r="6" spans="1:8">
      <c r="A6" t="s">
        <v>4</v>
      </c>
      <c r="B6" t="s">
        <v>5</v>
      </c>
      <c r="C6" t="s">
        <v>6</v>
      </c>
      <c r="D6" t="s">
        <v>7</v>
      </c>
    </row>
    <row r="7" spans="1:8">
      <c r="A7" t="s">
        <v>8</v>
      </c>
      <c r="B7" t="s">
        <v>9</v>
      </c>
      <c r="C7" t="s">
        <v>10</v>
      </c>
      <c r="D7" t="s">
        <v>11</v>
      </c>
    </row>
    <row r="9" spans="1:8">
      <c r="A9" s="19" t="s">
        <v>12</v>
      </c>
      <c r="B9" s="19"/>
      <c r="C9" s="19"/>
      <c r="D9" s="19"/>
      <c r="E9" s="19"/>
      <c r="F9" s="19"/>
      <c r="G9" s="19"/>
      <c r="H9" s="19"/>
    </row>
    <row r="12" spans="1:8" s="9" customFormat="1">
      <c r="A12" s="9" t="s">
        <v>13</v>
      </c>
    </row>
    <row r="13" spans="1:8">
      <c r="A13" s="8" t="s">
        <v>14</v>
      </c>
      <c r="B13" s="8" t="s">
        <v>15</v>
      </c>
      <c r="C13" s="8" t="s">
        <v>16</v>
      </c>
      <c r="D13" s="8" t="s">
        <v>17</v>
      </c>
      <c r="E13" t="s">
        <v>18</v>
      </c>
      <c r="F13" t="s">
        <v>19</v>
      </c>
    </row>
    <row r="14" spans="1:8">
      <c r="A14" s="8" t="s">
        <v>20</v>
      </c>
      <c r="B14" s="8" t="s">
        <v>20</v>
      </c>
      <c r="C14" s="8" t="s">
        <v>20</v>
      </c>
      <c r="D14" s="8" t="s">
        <v>21</v>
      </c>
    </row>
    <row r="15" spans="1:8">
      <c r="A15">
        <v>255</v>
      </c>
      <c r="B15">
        <v>255</v>
      </c>
      <c r="C15">
        <v>255</v>
      </c>
      <c r="D15">
        <v>128</v>
      </c>
    </row>
    <row r="18" spans="1:6">
      <c r="A18" s="8" t="s">
        <v>14</v>
      </c>
      <c r="B18" s="8" t="s">
        <v>15</v>
      </c>
      <c r="C18" s="8" t="s">
        <v>16</v>
      </c>
      <c r="D18" s="8" t="s">
        <v>17</v>
      </c>
      <c r="E18" t="s">
        <v>22</v>
      </c>
      <c r="F18" t="s">
        <v>23</v>
      </c>
    </row>
    <row r="19" spans="1:6">
      <c r="A19" s="8" t="s">
        <v>24</v>
      </c>
      <c r="B19" s="8" t="s">
        <v>20</v>
      </c>
      <c r="C19" s="8" t="s">
        <v>20</v>
      </c>
      <c r="D19" s="8" t="s">
        <v>25</v>
      </c>
    </row>
    <row r="20" spans="1:6">
      <c r="A20">
        <v>255</v>
      </c>
      <c r="B20">
        <v>255</v>
      </c>
      <c r="C20">
        <v>255</v>
      </c>
      <c r="D20">
        <v>192</v>
      </c>
    </row>
    <row r="23" spans="1:6">
      <c r="A23" s="8" t="s">
        <v>14</v>
      </c>
      <c r="B23" s="8" t="s">
        <v>15</v>
      </c>
      <c r="C23" s="8" t="s">
        <v>16</v>
      </c>
      <c r="D23" s="8" t="s">
        <v>17</v>
      </c>
      <c r="E23" t="s">
        <v>26</v>
      </c>
      <c r="F23" t="s">
        <v>27</v>
      </c>
    </row>
    <row r="24" spans="1:6">
      <c r="A24" s="8" t="s">
        <v>24</v>
      </c>
      <c r="B24" s="8" t="s">
        <v>20</v>
      </c>
      <c r="C24" s="8" t="s">
        <v>20</v>
      </c>
      <c r="D24" s="8" t="s">
        <v>28</v>
      </c>
    </row>
    <row r="25" spans="1:6">
      <c r="A25" s="7">
        <v>255</v>
      </c>
      <c r="B25">
        <v>255</v>
      </c>
      <c r="C25">
        <v>255</v>
      </c>
      <c r="D25">
        <v>224</v>
      </c>
    </row>
    <row r="28" spans="1:6">
      <c r="A28" t="s">
        <v>29</v>
      </c>
    </row>
    <row r="31" spans="1:6" s="9" customFormat="1">
      <c r="A31" s="9" t="s">
        <v>30</v>
      </c>
    </row>
    <row r="32" spans="1:6">
      <c r="A32">
        <v>192</v>
      </c>
      <c r="B32">
        <v>168</v>
      </c>
      <c r="C32">
        <v>1</v>
      </c>
      <c r="D32">
        <v>0</v>
      </c>
      <c r="E32" t="s">
        <v>18</v>
      </c>
      <c r="F32" t="s">
        <v>19</v>
      </c>
    </row>
    <row r="33" spans="1:4">
      <c r="A33">
        <v>11111111</v>
      </c>
      <c r="B33">
        <v>11111111</v>
      </c>
      <c r="C33">
        <v>11111111</v>
      </c>
      <c r="D33">
        <v>10000000</v>
      </c>
    </row>
    <row r="35" spans="1:4">
      <c r="A35" t="s">
        <v>31</v>
      </c>
      <c r="B35" t="s">
        <v>32</v>
      </c>
      <c r="D35" t="s">
        <v>33</v>
      </c>
    </row>
    <row r="38" spans="1:4">
      <c r="A38" t="s">
        <v>34</v>
      </c>
    </row>
    <row r="41" spans="1:4" s="9" customFormat="1">
      <c r="A41" s="11" t="s">
        <v>35</v>
      </c>
    </row>
    <row r="42" spans="1:4">
      <c r="A42" t="s">
        <v>36</v>
      </c>
    </row>
  </sheetData>
  <mergeCells count="1">
    <mergeCell ref="A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D15A-068A-4DD2-BB60-EF4D4CF0D5E1}">
  <dimension ref="A1"/>
  <sheetViews>
    <sheetView workbookViewId="0">
      <selection activeCell="M15" sqref="M15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4644-B8E0-4D5E-8640-0D0EB429A0CD}">
  <dimension ref="A1:G39"/>
  <sheetViews>
    <sheetView workbookViewId="0">
      <selection activeCell="I10" sqref="I10"/>
    </sheetView>
  </sheetViews>
  <sheetFormatPr defaultRowHeight="15"/>
  <cols>
    <col min="1" max="1" width="15.42578125" customWidth="1"/>
    <col min="4" max="6" width="9.85546875" bestFit="1" customWidth="1"/>
  </cols>
  <sheetData>
    <row r="1" spans="1:7">
      <c r="A1" t="s">
        <v>37</v>
      </c>
      <c r="B1" s="10" t="s">
        <v>35</v>
      </c>
    </row>
    <row r="2" spans="1:7">
      <c r="A2">
        <v>1</v>
      </c>
      <c r="B2">
        <v>16384</v>
      </c>
    </row>
    <row r="3" spans="1:7">
      <c r="A3">
        <v>2</v>
      </c>
      <c r="B3">
        <f>B2/2</f>
        <v>8192</v>
      </c>
      <c r="D3" t="s">
        <v>38</v>
      </c>
    </row>
    <row r="4" spans="1:7">
      <c r="A4">
        <v>3</v>
      </c>
      <c r="B4">
        <f t="shared" ref="B4:B21" si="0">B3/2</f>
        <v>4096</v>
      </c>
    </row>
    <row r="5" spans="1:7">
      <c r="A5">
        <v>4</v>
      </c>
      <c r="B5">
        <f t="shared" si="0"/>
        <v>2048</v>
      </c>
      <c r="D5">
        <v>11111111</v>
      </c>
      <c r="E5">
        <v>11111111</v>
      </c>
      <c r="F5">
        <v>11000000</v>
      </c>
      <c r="G5" s="8" t="s">
        <v>39</v>
      </c>
    </row>
    <row r="6" spans="1:7">
      <c r="A6">
        <v>5</v>
      </c>
      <c r="B6">
        <f t="shared" si="0"/>
        <v>1024</v>
      </c>
    </row>
    <row r="7" spans="1:7">
      <c r="A7">
        <v>6</v>
      </c>
      <c r="B7">
        <f t="shared" si="0"/>
        <v>512</v>
      </c>
    </row>
    <row r="8" spans="1:7">
      <c r="A8">
        <v>7</v>
      </c>
      <c r="B8">
        <f t="shared" si="0"/>
        <v>256</v>
      </c>
    </row>
    <row r="9" spans="1:7">
      <c r="A9">
        <v>8</v>
      </c>
      <c r="B9">
        <f t="shared" si="0"/>
        <v>128</v>
      </c>
    </row>
    <row r="10" spans="1:7">
      <c r="A10">
        <v>9</v>
      </c>
      <c r="B10">
        <f t="shared" si="0"/>
        <v>64</v>
      </c>
    </row>
    <row r="11" spans="1:7">
      <c r="A11">
        <v>10</v>
      </c>
      <c r="B11">
        <f t="shared" si="0"/>
        <v>32</v>
      </c>
    </row>
    <row r="12" spans="1:7">
      <c r="A12">
        <v>11</v>
      </c>
      <c r="B12">
        <f t="shared" si="0"/>
        <v>16</v>
      </c>
    </row>
    <row r="13" spans="1:7">
      <c r="A13">
        <v>12</v>
      </c>
      <c r="B13">
        <f t="shared" si="0"/>
        <v>8</v>
      </c>
    </row>
    <row r="14" spans="1:7">
      <c r="A14">
        <v>13</v>
      </c>
      <c r="B14">
        <f t="shared" si="0"/>
        <v>4</v>
      </c>
    </row>
    <row r="15" spans="1:7">
      <c r="A15" s="9">
        <v>14</v>
      </c>
      <c r="B15">
        <f t="shared" si="0"/>
        <v>2</v>
      </c>
    </row>
    <row r="16" spans="1:7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FED6-A6B0-4255-AAA8-FCF396E481F4}">
  <dimension ref="A1:D19"/>
  <sheetViews>
    <sheetView workbookViewId="0">
      <selection activeCell="D18" sqref="D18"/>
    </sheetView>
  </sheetViews>
  <sheetFormatPr defaultRowHeight="15"/>
  <cols>
    <col min="1" max="1" width="9.85546875" bestFit="1" customWidth="1"/>
    <col min="4" max="4" width="9.85546875" bestFit="1" customWidth="1"/>
  </cols>
  <sheetData>
    <row r="1" spans="1:4" s="9" customFormat="1">
      <c r="A1" s="9" t="s">
        <v>40</v>
      </c>
    </row>
    <row r="3" spans="1:4">
      <c r="A3" s="13" t="s">
        <v>41</v>
      </c>
    </row>
    <row r="5" spans="1:4">
      <c r="A5" s="12" t="s">
        <v>42</v>
      </c>
    </row>
    <row r="6" spans="1:4">
      <c r="A6" t="s">
        <v>43</v>
      </c>
    </row>
    <row r="8" spans="1:4">
      <c r="A8" s="8" t="s">
        <v>20</v>
      </c>
      <c r="B8" s="8" t="s">
        <v>20</v>
      </c>
      <c r="C8" s="8" t="s">
        <v>20</v>
      </c>
      <c r="D8" s="8" t="s">
        <v>44</v>
      </c>
    </row>
    <row r="9" spans="1:4">
      <c r="A9" s="9">
        <v>255</v>
      </c>
      <c r="B9" s="9">
        <v>255</v>
      </c>
      <c r="C9" s="9">
        <v>255</v>
      </c>
      <c r="D9" s="9">
        <v>240</v>
      </c>
    </row>
    <row r="12" spans="1:4" s="9" customFormat="1">
      <c r="A12" s="11" t="s">
        <v>40</v>
      </c>
    </row>
    <row r="14" spans="1:4">
      <c r="A14" s="14" t="s">
        <v>45</v>
      </c>
    </row>
    <row r="16" spans="1:4">
      <c r="A16" s="12" t="s">
        <v>46</v>
      </c>
      <c r="C16" t="s">
        <v>47</v>
      </c>
    </row>
    <row r="18" spans="1:4">
      <c r="A18">
        <v>11111111</v>
      </c>
      <c r="B18">
        <v>1111111</v>
      </c>
      <c r="C18">
        <v>1111111</v>
      </c>
      <c r="D18">
        <v>11000000</v>
      </c>
    </row>
    <row r="19" spans="1:4">
      <c r="A19" s="9">
        <v>255</v>
      </c>
      <c r="B19" s="9">
        <v>255</v>
      </c>
      <c r="C19" s="9">
        <v>255</v>
      </c>
      <c r="D19" s="9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EA11-0A73-4452-83D7-B12FDA3B5217}">
  <dimension ref="A1:A11"/>
  <sheetViews>
    <sheetView workbookViewId="0">
      <selection activeCell="J14" sqref="J14"/>
    </sheetView>
  </sheetViews>
  <sheetFormatPr defaultRowHeight="15"/>
  <sheetData>
    <row r="1" spans="1:1">
      <c r="A1" t="s">
        <v>48</v>
      </c>
    </row>
    <row r="3" spans="1:1">
      <c r="A3" t="s">
        <v>49</v>
      </c>
    </row>
    <row r="4" spans="1:1">
      <c r="A4" t="s">
        <v>50</v>
      </c>
    </row>
    <row r="6" spans="1:1">
      <c r="A6" t="s">
        <v>51</v>
      </c>
    </row>
    <row r="7" spans="1:1">
      <c r="A7" s="10" t="s">
        <v>52</v>
      </c>
    </row>
    <row r="9" spans="1:1">
      <c r="A9" t="s">
        <v>53</v>
      </c>
    </row>
    <row r="11" spans="1:1">
      <c r="A11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648F-BE92-48A7-8127-FDC1B33B934E}">
  <dimension ref="A1:A3"/>
  <sheetViews>
    <sheetView workbookViewId="0">
      <selection activeCell="A11" sqref="A11"/>
    </sheetView>
  </sheetViews>
  <sheetFormatPr defaultRowHeight="15"/>
  <cols>
    <col min="1" max="1" width="75" bestFit="1" customWidth="1"/>
  </cols>
  <sheetData>
    <row r="1" spans="1:1">
      <c r="A1" t="s">
        <v>55</v>
      </c>
    </row>
    <row r="3" spans="1:1">
      <c r="A3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1800-79F9-40F1-A3F3-4715632DA508}">
  <dimension ref="A1:B7"/>
  <sheetViews>
    <sheetView workbookViewId="0">
      <selection activeCell="A7" sqref="A7"/>
    </sheetView>
  </sheetViews>
  <sheetFormatPr defaultRowHeight="15"/>
  <cols>
    <col min="1" max="1" width="11.140625" bestFit="1" customWidth="1"/>
    <col min="2" max="2" width="37.5703125" bestFit="1" customWidth="1"/>
  </cols>
  <sheetData>
    <row r="1" spans="1:2">
      <c r="A1" t="s">
        <v>57</v>
      </c>
    </row>
    <row r="2" spans="1:2">
      <c r="A2" t="s">
        <v>58</v>
      </c>
      <c r="B2" t="s">
        <v>59</v>
      </c>
    </row>
    <row r="3" spans="1:2">
      <c r="A3" t="s">
        <v>60</v>
      </c>
      <c r="B3" t="s">
        <v>61</v>
      </c>
    </row>
    <row r="4" spans="1:2">
      <c r="A4" t="s">
        <v>62</v>
      </c>
      <c r="B4" t="s">
        <v>63</v>
      </c>
    </row>
    <row r="5" spans="1:2">
      <c r="A5" t="s">
        <v>64</v>
      </c>
      <c r="B5" t="s">
        <v>65</v>
      </c>
    </row>
    <row r="6" spans="1:2">
      <c r="A6" t="s">
        <v>66</v>
      </c>
      <c r="B6" t="s">
        <v>67</v>
      </c>
    </row>
    <row r="7" spans="1:2">
      <c r="A7" t="s">
        <v>68</v>
      </c>
      <c r="B7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6F04-B08B-49C6-AAAB-7357E480CE3E}">
  <dimension ref="A1:A20"/>
  <sheetViews>
    <sheetView workbookViewId="0">
      <selection activeCell="D5" sqref="D5"/>
    </sheetView>
  </sheetViews>
  <sheetFormatPr defaultRowHeight="15"/>
  <cols>
    <col min="1" max="1" width="63.5703125" bestFit="1" customWidth="1"/>
  </cols>
  <sheetData>
    <row r="1" spans="1:1" ht="19.5">
      <c r="A1" s="17" t="s">
        <v>70</v>
      </c>
    </row>
    <row r="3" spans="1:1">
      <c r="A3" s="13" t="s">
        <v>71</v>
      </c>
    </row>
    <row r="5" spans="1:1" ht="19.5">
      <c r="A5" s="15" t="s">
        <v>72</v>
      </c>
    </row>
    <row r="7" spans="1:1">
      <c r="A7" t="s">
        <v>73</v>
      </c>
    </row>
    <row r="9" spans="1:1">
      <c r="A9" s="16" t="s">
        <v>74</v>
      </c>
    </row>
    <row r="11" spans="1:1">
      <c r="A11" s="14" t="s">
        <v>75</v>
      </c>
    </row>
    <row r="13" spans="1:1">
      <c r="A13" s="9" t="s">
        <v>76</v>
      </c>
    </row>
    <row r="14" spans="1:1">
      <c r="A14" s="18">
        <v>421</v>
      </c>
    </row>
    <row r="16" spans="1:1">
      <c r="A16" t="s">
        <v>77</v>
      </c>
    </row>
    <row r="17" spans="1:1">
      <c r="A17" t="s">
        <v>78</v>
      </c>
    </row>
    <row r="18" spans="1:1">
      <c r="A18" t="s">
        <v>79</v>
      </c>
    </row>
    <row r="20" spans="1:1">
      <c r="A20" s="10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80B4-C6FD-4F81-A466-934F4AD3522E}">
  <dimension ref="A1:A4"/>
  <sheetViews>
    <sheetView workbookViewId="0">
      <selection sqref="A1:A4"/>
    </sheetView>
  </sheetViews>
  <sheetFormatPr defaultRowHeight="15"/>
  <cols>
    <col min="1" max="1" width="43.7109375" bestFit="1" customWidth="1"/>
  </cols>
  <sheetData>
    <row r="1" spans="1:1">
      <c r="A1" t="s">
        <v>81</v>
      </c>
    </row>
    <row r="2" spans="1:1">
      <c r="A2" t="s">
        <v>82</v>
      </c>
    </row>
    <row r="3" spans="1:1">
      <c r="A3" t="s">
        <v>83</v>
      </c>
    </row>
    <row r="4" spans="1:1">
      <c r="A4" t="s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66F2-88D8-4E2A-A148-9022220E0B69}">
  <dimension ref="A1:A5"/>
  <sheetViews>
    <sheetView workbookViewId="0">
      <selection activeCell="D13" sqref="D13"/>
    </sheetView>
  </sheetViews>
  <sheetFormatPr defaultRowHeight="15"/>
  <sheetData>
    <row r="1" spans="1:1">
      <c r="A1" t="s">
        <v>85</v>
      </c>
    </row>
    <row r="3" spans="1:1">
      <c r="A3" s="13" t="s">
        <v>86</v>
      </c>
    </row>
    <row r="5" spans="1:1">
      <c r="A5" s="1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2025-05-22T13:57:13Z</dcterms:created>
  <dcterms:modified xsi:type="dcterms:W3CDTF">2025-05-24T17:16:43Z</dcterms:modified>
  <cp:category/>
  <cp:contentStatus/>
</cp:coreProperties>
</file>